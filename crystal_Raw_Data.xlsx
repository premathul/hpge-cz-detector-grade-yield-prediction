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jaybhattarai/Desktop/"/>
    </mc:Choice>
  </mc:AlternateContent>
  <xr:revisionPtr revIDLastSave="0" documentId="13_ncr:1_{52A9FE3B-7ABF-F44E-B2EF-46209B7A459C}" xr6:coauthVersionLast="47" xr6:coauthVersionMax="47" xr10:uidLastSave="{00000000-0000-0000-0000-000000000000}"/>
  <bookViews>
    <workbookView xWindow="12260" yWindow="700" windowWidth="13740" windowHeight="17060" firstSheet="14" activeTab="19" xr2:uid="{34A76F45-733C-7C46-8B96-58B6A067CEA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20" l="1"/>
  <c r="P3" i="20"/>
  <c r="P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2" i="20"/>
  <c r="P37" i="19"/>
  <c r="P38" i="19"/>
  <c r="P3" i="19"/>
  <c r="P4" i="19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35" i="19"/>
  <c r="P36" i="19"/>
  <c r="P2" i="19"/>
  <c r="P3" i="18"/>
  <c r="P4" i="18"/>
  <c r="P5" i="18"/>
  <c r="P6" i="18"/>
  <c r="P7" i="18"/>
  <c r="P8" i="18"/>
  <c r="P9" i="18"/>
  <c r="P10" i="18"/>
  <c r="P11" i="18"/>
  <c r="P12" i="18"/>
  <c r="P13" i="18"/>
  <c r="P14" i="18"/>
  <c r="P15" i="18"/>
  <c r="P16" i="18"/>
  <c r="P17" i="18"/>
  <c r="P18" i="18"/>
  <c r="P19" i="18"/>
  <c r="P20" i="18"/>
  <c r="P21" i="18"/>
  <c r="P22" i="18"/>
  <c r="P23" i="18"/>
  <c r="P24" i="18"/>
  <c r="P25" i="18"/>
  <c r="P26" i="18"/>
  <c r="P27" i="18"/>
  <c r="P28" i="18"/>
  <c r="P29" i="18"/>
  <c r="P30" i="18"/>
  <c r="P31" i="18"/>
  <c r="P32" i="18"/>
  <c r="P33" i="18"/>
  <c r="P2" i="18"/>
  <c r="P38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2" i="17"/>
  <c r="P3" i="16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" i="16"/>
  <c r="P4" i="15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" i="15"/>
  <c r="P3" i="14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2" i="14"/>
  <c r="N26" i="13"/>
  <c r="P26" i="13"/>
  <c r="N27" i="13"/>
  <c r="P27" i="13"/>
  <c r="N3" i="13"/>
  <c r="P3" i="13"/>
  <c r="N4" i="13"/>
  <c r="P4" i="13"/>
  <c r="N5" i="13"/>
  <c r="P5" i="13"/>
  <c r="N6" i="13"/>
  <c r="P6" i="13"/>
  <c r="N7" i="13"/>
  <c r="P7" i="13"/>
  <c r="N8" i="13"/>
  <c r="P8" i="13"/>
  <c r="N9" i="13"/>
  <c r="P9" i="13"/>
  <c r="N10" i="13"/>
  <c r="P10" i="13"/>
  <c r="N11" i="13"/>
  <c r="P11" i="13"/>
  <c r="N12" i="13"/>
  <c r="P12" i="13"/>
  <c r="N13" i="13"/>
  <c r="P13" i="13"/>
  <c r="N14" i="13"/>
  <c r="P14" i="13"/>
  <c r="N15" i="13"/>
  <c r="P15" i="13"/>
  <c r="N16" i="13"/>
  <c r="P16" i="13"/>
  <c r="N17" i="13"/>
  <c r="P17" i="13"/>
  <c r="N18" i="13"/>
  <c r="P18" i="13"/>
  <c r="N19" i="13"/>
  <c r="P19" i="13"/>
  <c r="N20" i="13"/>
  <c r="P20" i="13"/>
  <c r="N21" i="13"/>
  <c r="P21" i="13"/>
  <c r="N22" i="13"/>
  <c r="P22" i="13"/>
  <c r="N23" i="13"/>
  <c r="P23" i="13"/>
  <c r="N24" i="13"/>
  <c r="P24" i="13"/>
  <c r="N25" i="13"/>
  <c r="P25" i="13"/>
  <c r="N2" i="13"/>
  <c r="P2" i="13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2" i="12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2" i="11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" i="10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2" i="9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2" i="8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" i="7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2" i="6"/>
  <c r="P34" i="5"/>
  <c r="P35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2" i="4"/>
  <c r="P38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2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2" i="2"/>
  <c r="F36" i="20"/>
  <c r="E36" i="20"/>
  <c r="H36" i="20" s="1"/>
  <c r="I36" i="20" s="1"/>
  <c r="H35" i="20"/>
  <c r="I35" i="20" s="1"/>
  <c r="F35" i="20"/>
  <c r="E35" i="20"/>
  <c r="G35" i="20" s="1"/>
  <c r="I34" i="20"/>
  <c r="H34" i="20"/>
  <c r="G34" i="20"/>
  <c r="F34" i="20"/>
  <c r="D34" i="20" s="1"/>
  <c r="E34" i="20"/>
  <c r="F33" i="20"/>
  <c r="E33" i="20"/>
  <c r="G33" i="20" s="1"/>
  <c r="D33" i="20"/>
  <c r="F32" i="20"/>
  <c r="E32" i="20"/>
  <c r="H32" i="20" s="1"/>
  <c r="I32" i="20" s="1"/>
  <c r="H31" i="20"/>
  <c r="I31" i="20" s="1"/>
  <c r="G31" i="20"/>
  <c r="F31" i="20"/>
  <c r="E31" i="20"/>
  <c r="F30" i="20"/>
  <c r="E30" i="20"/>
  <c r="G30" i="20" s="1"/>
  <c r="F29" i="20"/>
  <c r="E29" i="20"/>
  <c r="H29" i="20" s="1"/>
  <c r="I29" i="20" s="1"/>
  <c r="I28" i="20"/>
  <c r="H28" i="20"/>
  <c r="G28" i="20"/>
  <c r="F28" i="20"/>
  <c r="E28" i="20"/>
  <c r="F27" i="20"/>
  <c r="E27" i="20"/>
  <c r="H27" i="20" s="1"/>
  <c r="I27" i="20" s="1"/>
  <c r="H26" i="20"/>
  <c r="I26" i="20" s="1"/>
  <c r="F26" i="20"/>
  <c r="E26" i="20"/>
  <c r="G26" i="20" s="1"/>
  <c r="F25" i="20"/>
  <c r="E25" i="20"/>
  <c r="H25" i="20" s="1"/>
  <c r="I25" i="20" s="1"/>
  <c r="F24" i="20"/>
  <c r="E24" i="20"/>
  <c r="H24" i="20" s="1"/>
  <c r="I24" i="20" s="1"/>
  <c r="H23" i="20"/>
  <c r="I23" i="20" s="1"/>
  <c r="G23" i="20"/>
  <c r="F23" i="20"/>
  <c r="E23" i="20"/>
  <c r="F22" i="20"/>
  <c r="E22" i="20"/>
  <c r="G22" i="20" s="1"/>
  <c r="F21" i="20"/>
  <c r="E21" i="20"/>
  <c r="H21" i="20" s="1"/>
  <c r="I21" i="20" s="1"/>
  <c r="I20" i="20"/>
  <c r="H20" i="20"/>
  <c r="G20" i="20"/>
  <c r="F20" i="20"/>
  <c r="E20" i="20"/>
  <c r="F19" i="20"/>
  <c r="E19" i="20"/>
  <c r="H19" i="20" s="1"/>
  <c r="I19" i="20" s="1"/>
  <c r="H18" i="20"/>
  <c r="I18" i="20" s="1"/>
  <c r="F18" i="20"/>
  <c r="E18" i="20"/>
  <c r="G18" i="20" s="1"/>
  <c r="F17" i="20"/>
  <c r="E17" i="20"/>
  <c r="H17" i="20" s="1"/>
  <c r="I17" i="20" s="1"/>
  <c r="F16" i="20"/>
  <c r="E16" i="20"/>
  <c r="H16" i="20" s="1"/>
  <c r="I16" i="20" s="1"/>
  <c r="H15" i="20"/>
  <c r="I15" i="20" s="1"/>
  <c r="G15" i="20"/>
  <c r="F15" i="20"/>
  <c r="E15" i="20"/>
  <c r="F14" i="20"/>
  <c r="E14" i="20"/>
  <c r="G14" i="20" s="1"/>
  <c r="F13" i="20"/>
  <c r="E13" i="20"/>
  <c r="H13" i="20" s="1"/>
  <c r="I13" i="20" s="1"/>
  <c r="I12" i="20"/>
  <c r="H12" i="20"/>
  <c r="G12" i="20"/>
  <c r="F12" i="20"/>
  <c r="E12" i="20"/>
  <c r="F11" i="20"/>
  <c r="E11" i="20"/>
  <c r="H11" i="20" s="1"/>
  <c r="I11" i="20" s="1"/>
  <c r="H10" i="20"/>
  <c r="I10" i="20" s="1"/>
  <c r="F10" i="20"/>
  <c r="E10" i="20"/>
  <c r="G10" i="20" s="1"/>
  <c r="F9" i="20"/>
  <c r="E9" i="20"/>
  <c r="H9" i="20" s="1"/>
  <c r="I9" i="20" s="1"/>
  <c r="F8" i="20"/>
  <c r="E8" i="20"/>
  <c r="H8" i="20" s="1"/>
  <c r="I8" i="20" s="1"/>
  <c r="H7" i="20"/>
  <c r="I7" i="20" s="1"/>
  <c r="G7" i="20"/>
  <c r="F7" i="20"/>
  <c r="E7" i="20"/>
  <c r="F6" i="20"/>
  <c r="E6" i="20"/>
  <c r="H6" i="20" s="1"/>
  <c r="I6" i="20" s="1"/>
  <c r="F5" i="20"/>
  <c r="E5" i="20"/>
  <c r="H5" i="20" s="1"/>
  <c r="I5" i="20" s="1"/>
  <c r="I4" i="20"/>
  <c r="H4" i="20"/>
  <c r="G4" i="20"/>
  <c r="F4" i="20"/>
  <c r="E4" i="20"/>
  <c r="F3" i="20"/>
  <c r="E3" i="20"/>
  <c r="H3" i="20" s="1"/>
  <c r="I3" i="20" s="1"/>
  <c r="I2" i="20"/>
  <c r="H38" i="19"/>
  <c r="I38" i="19" s="1"/>
  <c r="F38" i="19"/>
  <c r="E38" i="19"/>
  <c r="G38" i="19" s="1"/>
  <c r="H37" i="19"/>
  <c r="I37" i="19" s="1"/>
  <c r="G37" i="19"/>
  <c r="F37" i="19"/>
  <c r="E37" i="19"/>
  <c r="F36" i="19"/>
  <c r="E36" i="19"/>
  <c r="H36" i="19" s="1"/>
  <c r="I36" i="19" s="1"/>
  <c r="F35" i="19"/>
  <c r="E35" i="19"/>
  <c r="H35" i="19" s="1"/>
  <c r="I35" i="19" s="1"/>
  <c r="H34" i="19"/>
  <c r="I34" i="19" s="1"/>
  <c r="G34" i="19"/>
  <c r="F34" i="19"/>
  <c r="E34" i="19"/>
  <c r="F33" i="19"/>
  <c r="E33" i="19"/>
  <c r="H33" i="19" s="1"/>
  <c r="I33" i="19" s="1"/>
  <c r="H32" i="19"/>
  <c r="I32" i="19" s="1"/>
  <c r="F32" i="19"/>
  <c r="E32" i="19"/>
  <c r="G32" i="19" s="1"/>
  <c r="H31" i="19"/>
  <c r="I31" i="19" s="1"/>
  <c r="G31" i="19"/>
  <c r="F31" i="19"/>
  <c r="D31" i="19" s="1"/>
  <c r="E31" i="19"/>
  <c r="F30" i="19"/>
  <c r="E30" i="19"/>
  <c r="H30" i="19" s="1"/>
  <c r="I30" i="19" s="1"/>
  <c r="D30" i="19"/>
  <c r="F29" i="19"/>
  <c r="E29" i="19"/>
  <c r="H29" i="19" s="1"/>
  <c r="I29" i="19" s="1"/>
  <c r="D29" i="19"/>
  <c r="H28" i="19"/>
  <c r="I28" i="19" s="1"/>
  <c r="F28" i="19"/>
  <c r="E28" i="19"/>
  <c r="G28" i="19" s="1"/>
  <c r="F27" i="19"/>
  <c r="E27" i="19"/>
  <c r="H27" i="19" s="1"/>
  <c r="I27" i="19" s="1"/>
  <c r="F26" i="19"/>
  <c r="E26" i="19"/>
  <c r="H26" i="19" s="1"/>
  <c r="I26" i="19" s="1"/>
  <c r="H25" i="19"/>
  <c r="I25" i="19" s="1"/>
  <c r="G25" i="19"/>
  <c r="F25" i="19"/>
  <c r="E25" i="19"/>
  <c r="F24" i="19"/>
  <c r="E24" i="19"/>
  <c r="H24" i="19" s="1"/>
  <c r="I24" i="19" s="1"/>
  <c r="F23" i="19"/>
  <c r="E23" i="19"/>
  <c r="H23" i="19" s="1"/>
  <c r="I23" i="19" s="1"/>
  <c r="H22" i="19"/>
  <c r="I22" i="19" s="1"/>
  <c r="G22" i="19"/>
  <c r="F22" i="19"/>
  <c r="E22" i="19"/>
  <c r="F21" i="19"/>
  <c r="E21" i="19"/>
  <c r="H21" i="19" s="1"/>
  <c r="I21" i="19" s="1"/>
  <c r="H20" i="19"/>
  <c r="I20" i="19" s="1"/>
  <c r="F20" i="19"/>
  <c r="E20" i="19"/>
  <c r="G20" i="19" s="1"/>
  <c r="F19" i="19"/>
  <c r="E19" i="19"/>
  <c r="H19" i="19" s="1"/>
  <c r="I19" i="19" s="1"/>
  <c r="F18" i="19"/>
  <c r="E18" i="19"/>
  <c r="H18" i="19" s="1"/>
  <c r="I18" i="19" s="1"/>
  <c r="H17" i="19"/>
  <c r="I17" i="19" s="1"/>
  <c r="G17" i="19"/>
  <c r="F17" i="19"/>
  <c r="E17" i="19"/>
  <c r="F16" i="19"/>
  <c r="E16" i="19"/>
  <c r="H16" i="19" s="1"/>
  <c r="I16" i="19" s="1"/>
  <c r="F15" i="19"/>
  <c r="E15" i="19"/>
  <c r="H15" i="19" s="1"/>
  <c r="I15" i="19" s="1"/>
  <c r="H14" i="19"/>
  <c r="I14" i="19" s="1"/>
  <c r="G14" i="19"/>
  <c r="F14" i="19"/>
  <c r="E14" i="19"/>
  <c r="F13" i="19"/>
  <c r="E13" i="19"/>
  <c r="H13" i="19" s="1"/>
  <c r="I13" i="19" s="1"/>
  <c r="H12" i="19"/>
  <c r="I12" i="19" s="1"/>
  <c r="F12" i="19"/>
  <c r="E12" i="19"/>
  <c r="G12" i="19" s="1"/>
  <c r="F11" i="19"/>
  <c r="E11" i="19"/>
  <c r="H11" i="19" s="1"/>
  <c r="I11" i="19" s="1"/>
  <c r="F10" i="19"/>
  <c r="E10" i="19"/>
  <c r="H10" i="19" s="1"/>
  <c r="I10" i="19" s="1"/>
  <c r="H9" i="19"/>
  <c r="I9" i="19" s="1"/>
  <c r="G9" i="19"/>
  <c r="F9" i="19"/>
  <c r="E9" i="19"/>
  <c r="F8" i="19"/>
  <c r="E8" i="19"/>
  <c r="H8" i="19" s="1"/>
  <c r="I8" i="19" s="1"/>
  <c r="F7" i="19"/>
  <c r="E7" i="19"/>
  <c r="H7" i="19" s="1"/>
  <c r="I7" i="19" s="1"/>
  <c r="H6" i="19"/>
  <c r="I6" i="19" s="1"/>
  <c r="G6" i="19"/>
  <c r="F6" i="19"/>
  <c r="E6" i="19"/>
  <c r="F5" i="19"/>
  <c r="E5" i="19"/>
  <c r="H5" i="19" s="1"/>
  <c r="I5" i="19" s="1"/>
  <c r="H4" i="19"/>
  <c r="I4" i="19" s="1"/>
  <c r="F4" i="19"/>
  <c r="E4" i="19"/>
  <c r="G4" i="19" s="1"/>
  <c r="F3" i="19"/>
  <c r="E3" i="19"/>
  <c r="H3" i="19" s="1"/>
  <c r="I3" i="19" s="1"/>
  <c r="I2" i="19"/>
  <c r="F33" i="18"/>
  <c r="E33" i="18"/>
  <c r="H33" i="18" s="1"/>
  <c r="I33" i="18" s="1"/>
  <c r="H32" i="18"/>
  <c r="I32" i="18" s="1"/>
  <c r="G32" i="18"/>
  <c r="F32" i="18"/>
  <c r="E32" i="18"/>
  <c r="F31" i="18"/>
  <c r="E31" i="18"/>
  <c r="G31" i="18" s="1"/>
  <c r="F30" i="18"/>
  <c r="E30" i="18"/>
  <c r="H30" i="18" s="1"/>
  <c r="I30" i="18" s="1"/>
  <c r="H29" i="18"/>
  <c r="I29" i="18" s="1"/>
  <c r="G29" i="18"/>
  <c r="F29" i="18"/>
  <c r="E29" i="18"/>
  <c r="F28" i="18"/>
  <c r="E28" i="18"/>
  <c r="H28" i="18" s="1"/>
  <c r="I28" i="18" s="1"/>
  <c r="F27" i="18"/>
  <c r="E27" i="18"/>
  <c r="H27" i="18" s="1"/>
  <c r="I27" i="18" s="1"/>
  <c r="H26" i="18"/>
  <c r="I26" i="18" s="1"/>
  <c r="G26" i="18"/>
  <c r="F26" i="18"/>
  <c r="E26" i="18"/>
  <c r="F25" i="18"/>
  <c r="D25" i="18" s="1"/>
  <c r="E25" i="18"/>
  <c r="H25" i="18" s="1"/>
  <c r="I25" i="18" s="1"/>
  <c r="F24" i="18"/>
  <c r="E24" i="18"/>
  <c r="H24" i="18" s="1"/>
  <c r="I24" i="18" s="1"/>
  <c r="H23" i="18"/>
  <c r="I23" i="18" s="1"/>
  <c r="F23" i="18"/>
  <c r="E23" i="18"/>
  <c r="G23" i="18" s="1"/>
  <c r="F22" i="18"/>
  <c r="E22" i="18"/>
  <c r="H22" i="18" s="1"/>
  <c r="I22" i="18" s="1"/>
  <c r="F21" i="18"/>
  <c r="E21" i="18"/>
  <c r="H21" i="18" s="1"/>
  <c r="I21" i="18" s="1"/>
  <c r="H20" i="18"/>
  <c r="I20" i="18" s="1"/>
  <c r="G20" i="18"/>
  <c r="F20" i="18"/>
  <c r="E20" i="18"/>
  <c r="F19" i="18"/>
  <c r="E19" i="18"/>
  <c r="H19" i="18" s="1"/>
  <c r="I19" i="18" s="1"/>
  <c r="F18" i="18"/>
  <c r="E18" i="18"/>
  <c r="H18" i="18" s="1"/>
  <c r="I18" i="18" s="1"/>
  <c r="H17" i="18"/>
  <c r="I17" i="18" s="1"/>
  <c r="G17" i="18"/>
  <c r="F17" i="18"/>
  <c r="E17" i="18"/>
  <c r="F16" i="18"/>
  <c r="E16" i="18"/>
  <c r="H16" i="18" s="1"/>
  <c r="I16" i="18" s="1"/>
  <c r="H15" i="18"/>
  <c r="I15" i="18" s="1"/>
  <c r="F15" i="18"/>
  <c r="E15" i="18"/>
  <c r="G15" i="18" s="1"/>
  <c r="F14" i="18"/>
  <c r="E14" i="18"/>
  <c r="H14" i="18" s="1"/>
  <c r="I14" i="18" s="1"/>
  <c r="F13" i="18"/>
  <c r="E13" i="18"/>
  <c r="H13" i="18" s="1"/>
  <c r="I13" i="18" s="1"/>
  <c r="H12" i="18"/>
  <c r="I12" i="18" s="1"/>
  <c r="G12" i="18"/>
  <c r="F12" i="18"/>
  <c r="E12" i="18"/>
  <c r="F11" i="18"/>
  <c r="E11" i="18"/>
  <c r="H11" i="18" s="1"/>
  <c r="I11" i="18" s="1"/>
  <c r="F10" i="18"/>
  <c r="E10" i="18"/>
  <c r="H10" i="18" s="1"/>
  <c r="I10" i="18" s="1"/>
  <c r="H9" i="18"/>
  <c r="I9" i="18" s="1"/>
  <c r="G9" i="18"/>
  <c r="F9" i="18"/>
  <c r="E9" i="18"/>
  <c r="F8" i="18"/>
  <c r="E8" i="18"/>
  <c r="H8" i="18" s="1"/>
  <c r="I8" i="18" s="1"/>
  <c r="H7" i="18"/>
  <c r="I7" i="18" s="1"/>
  <c r="F7" i="18"/>
  <c r="E7" i="18"/>
  <c r="G7" i="18" s="1"/>
  <c r="F6" i="18"/>
  <c r="E6" i="18"/>
  <c r="H6" i="18" s="1"/>
  <c r="I6" i="18" s="1"/>
  <c r="F5" i="18"/>
  <c r="E5" i="18"/>
  <c r="H5" i="18" s="1"/>
  <c r="I5" i="18" s="1"/>
  <c r="H4" i="18"/>
  <c r="I4" i="18" s="1"/>
  <c r="G4" i="18"/>
  <c r="F4" i="18"/>
  <c r="E4" i="18"/>
  <c r="F3" i="18"/>
  <c r="E3" i="18"/>
  <c r="H3" i="18" s="1"/>
  <c r="I3" i="18" s="1"/>
  <c r="I2" i="18"/>
  <c r="F38" i="17"/>
  <c r="E38" i="17"/>
  <c r="H38" i="17" s="1"/>
  <c r="I38" i="17" s="1"/>
  <c r="H37" i="17"/>
  <c r="I37" i="17" s="1"/>
  <c r="F37" i="17"/>
  <c r="E37" i="17"/>
  <c r="G37" i="17" s="1"/>
  <c r="H36" i="17"/>
  <c r="I36" i="17" s="1"/>
  <c r="G36" i="17"/>
  <c r="F36" i="17"/>
  <c r="D37" i="17" s="1"/>
  <c r="D38" i="17" s="1"/>
  <c r="E36" i="17"/>
  <c r="F35" i="17"/>
  <c r="E35" i="17"/>
  <c r="H35" i="17" s="1"/>
  <c r="I35" i="17" s="1"/>
  <c r="H34" i="17"/>
  <c r="I34" i="17" s="1"/>
  <c r="F34" i="17"/>
  <c r="E34" i="17"/>
  <c r="G34" i="17" s="1"/>
  <c r="F33" i="17"/>
  <c r="E33" i="17"/>
  <c r="G33" i="17" s="1"/>
  <c r="F32" i="17"/>
  <c r="E32" i="17"/>
  <c r="H32" i="17" s="1"/>
  <c r="I32" i="17" s="1"/>
  <c r="H31" i="17"/>
  <c r="I31" i="17" s="1"/>
  <c r="G31" i="17"/>
  <c r="F31" i="17"/>
  <c r="E31" i="17"/>
  <c r="F30" i="17"/>
  <c r="E30" i="17"/>
  <c r="G30" i="17" s="1"/>
  <c r="F29" i="17"/>
  <c r="E29" i="17"/>
  <c r="H29" i="17" s="1"/>
  <c r="I29" i="17" s="1"/>
  <c r="H28" i="17"/>
  <c r="I28" i="17" s="1"/>
  <c r="G28" i="17"/>
  <c r="F28" i="17"/>
  <c r="E28" i="17"/>
  <c r="F27" i="17"/>
  <c r="E27" i="17"/>
  <c r="H27" i="17" s="1"/>
  <c r="I27" i="17" s="1"/>
  <c r="H26" i="17"/>
  <c r="I26" i="17" s="1"/>
  <c r="F26" i="17"/>
  <c r="E26" i="17"/>
  <c r="G26" i="17" s="1"/>
  <c r="F25" i="17"/>
  <c r="E25" i="17"/>
  <c r="H25" i="17" s="1"/>
  <c r="I25" i="17" s="1"/>
  <c r="F24" i="17"/>
  <c r="E24" i="17"/>
  <c r="H24" i="17" s="1"/>
  <c r="I24" i="17" s="1"/>
  <c r="H23" i="17"/>
  <c r="I23" i="17" s="1"/>
  <c r="G23" i="17"/>
  <c r="F23" i="17"/>
  <c r="E23" i="17"/>
  <c r="F22" i="17"/>
  <c r="E22" i="17"/>
  <c r="G22" i="17" s="1"/>
  <c r="F21" i="17"/>
  <c r="E21" i="17"/>
  <c r="H21" i="17" s="1"/>
  <c r="I21" i="17" s="1"/>
  <c r="H20" i="17"/>
  <c r="I20" i="17" s="1"/>
  <c r="G20" i="17"/>
  <c r="F20" i="17"/>
  <c r="E20" i="17"/>
  <c r="F19" i="17"/>
  <c r="E19" i="17"/>
  <c r="H19" i="17" s="1"/>
  <c r="I19" i="17" s="1"/>
  <c r="H18" i="17"/>
  <c r="I18" i="17" s="1"/>
  <c r="F18" i="17"/>
  <c r="E18" i="17"/>
  <c r="G18" i="17" s="1"/>
  <c r="F17" i="17"/>
  <c r="E17" i="17"/>
  <c r="H17" i="17" s="1"/>
  <c r="I17" i="17" s="1"/>
  <c r="F16" i="17"/>
  <c r="E16" i="17"/>
  <c r="H16" i="17" s="1"/>
  <c r="I16" i="17" s="1"/>
  <c r="H15" i="17"/>
  <c r="I15" i="17" s="1"/>
  <c r="G15" i="17"/>
  <c r="F15" i="17"/>
  <c r="E15" i="17"/>
  <c r="F14" i="17"/>
  <c r="E14" i="17"/>
  <c r="G14" i="17" s="1"/>
  <c r="F13" i="17"/>
  <c r="E13" i="17"/>
  <c r="H13" i="17" s="1"/>
  <c r="I13" i="17" s="1"/>
  <c r="H12" i="17"/>
  <c r="I12" i="17" s="1"/>
  <c r="G12" i="17"/>
  <c r="F12" i="17"/>
  <c r="E12" i="17"/>
  <c r="F11" i="17"/>
  <c r="E11" i="17"/>
  <c r="H11" i="17" s="1"/>
  <c r="I11" i="17" s="1"/>
  <c r="H10" i="17"/>
  <c r="I10" i="17" s="1"/>
  <c r="F10" i="17"/>
  <c r="E10" i="17"/>
  <c r="G10" i="17" s="1"/>
  <c r="F9" i="17"/>
  <c r="E9" i="17"/>
  <c r="H9" i="17" s="1"/>
  <c r="I9" i="17" s="1"/>
  <c r="F8" i="17"/>
  <c r="E8" i="17"/>
  <c r="H8" i="17" s="1"/>
  <c r="I8" i="17" s="1"/>
  <c r="H7" i="17"/>
  <c r="I7" i="17" s="1"/>
  <c r="G7" i="17"/>
  <c r="F7" i="17"/>
  <c r="E7" i="17"/>
  <c r="F6" i="17"/>
  <c r="E6" i="17"/>
  <c r="G6" i="17" s="1"/>
  <c r="F5" i="17"/>
  <c r="E5" i="17"/>
  <c r="H5" i="17" s="1"/>
  <c r="I5" i="17" s="1"/>
  <c r="H4" i="17"/>
  <c r="I4" i="17" s="1"/>
  <c r="G4" i="17"/>
  <c r="F4" i="17"/>
  <c r="E4" i="17"/>
  <c r="F3" i="17"/>
  <c r="E3" i="17"/>
  <c r="H3" i="17" s="1"/>
  <c r="I3" i="17" s="1"/>
  <c r="I2" i="17"/>
  <c r="F25" i="16"/>
  <c r="E25" i="16"/>
  <c r="H25" i="16" s="1"/>
  <c r="I25" i="16" s="1"/>
  <c r="H24" i="16"/>
  <c r="I24" i="16" s="1"/>
  <c r="G24" i="16"/>
  <c r="F24" i="16"/>
  <c r="E24" i="16"/>
  <c r="F23" i="16"/>
  <c r="E23" i="16"/>
  <c r="G23" i="16" s="1"/>
  <c r="F22" i="16"/>
  <c r="E22" i="16"/>
  <c r="H22" i="16" s="1"/>
  <c r="I22" i="16" s="1"/>
  <c r="H21" i="16"/>
  <c r="I21" i="16" s="1"/>
  <c r="G21" i="16"/>
  <c r="F21" i="16"/>
  <c r="E21" i="16"/>
  <c r="F20" i="16"/>
  <c r="E20" i="16"/>
  <c r="H20" i="16" s="1"/>
  <c r="I20" i="16" s="1"/>
  <c r="H19" i="16"/>
  <c r="I19" i="16" s="1"/>
  <c r="F19" i="16"/>
  <c r="E19" i="16"/>
  <c r="G19" i="16" s="1"/>
  <c r="F18" i="16"/>
  <c r="E18" i="16"/>
  <c r="H18" i="16" s="1"/>
  <c r="I18" i="16" s="1"/>
  <c r="F17" i="16"/>
  <c r="E17" i="16"/>
  <c r="H17" i="16" s="1"/>
  <c r="I17" i="16" s="1"/>
  <c r="H16" i="16"/>
  <c r="I16" i="16" s="1"/>
  <c r="G16" i="16"/>
  <c r="F16" i="16"/>
  <c r="E16" i="16"/>
  <c r="F15" i="16"/>
  <c r="E15" i="16"/>
  <c r="H15" i="16" s="1"/>
  <c r="I15" i="16" s="1"/>
  <c r="F14" i="16"/>
  <c r="E14" i="16"/>
  <c r="H14" i="16" s="1"/>
  <c r="I14" i="16" s="1"/>
  <c r="H13" i="16"/>
  <c r="I13" i="16" s="1"/>
  <c r="G13" i="16"/>
  <c r="F13" i="16"/>
  <c r="E13" i="16"/>
  <c r="F12" i="16"/>
  <c r="E12" i="16"/>
  <c r="H12" i="16" s="1"/>
  <c r="I12" i="16" s="1"/>
  <c r="H11" i="16"/>
  <c r="I11" i="16" s="1"/>
  <c r="F11" i="16"/>
  <c r="E11" i="16"/>
  <c r="G11" i="16" s="1"/>
  <c r="F10" i="16"/>
  <c r="E10" i="16"/>
  <c r="H10" i="16" s="1"/>
  <c r="I10" i="16" s="1"/>
  <c r="F9" i="16"/>
  <c r="E9" i="16"/>
  <c r="H9" i="16" s="1"/>
  <c r="I9" i="16" s="1"/>
  <c r="H8" i="16"/>
  <c r="I8" i="16" s="1"/>
  <c r="G8" i="16"/>
  <c r="F8" i="16"/>
  <c r="E8" i="16"/>
  <c r="F7" i="16"/>
  <c r="E7" i="16"/>
  <c r="H7" i="16" s="1"/>
  <c r="I7" i="16" s="1"/>
  <c r="F6" i="16"/>
  <c r="E6" i="16"/>
  <c r="H6" i="16" s="1"/>
  <c r="I6" i="16" s="1"/>
  <c r="H5" i="16"/>
  <c r="I5" i="16" s="1"/>
  <c r="G5" i="16"/>
  <c r="F5" i="16"/>
  <c r="E5" i="16"/>
  <c r="F4" i="16"/>
  <c r="E4" i="16"/>
  <c r="H4" i="16" s="1"/>
  <c r="I4" i="16" s="1"/>
  <c r="H3" i="16"/>
  <c r="I3" i="16" s="1"/>
  <c r="F3" i="16"/>
  <c r="E3" i="16"/>
  <c r="G3" i="16" s="1"/>
  <c r="I2" i="16"/>
  <c r="F30" i="15"/>
  <c r="E30" i="15"/>
  <c r="H30" i="15" s="1"/>
  <c r="I30" i="15" s="1"/>
  <c r="H29" i="15"/>
  <c r="I29" i="15" s="1"/>
  <c r="F29" i="15"/>
  <c r="E29" i="15"/>
  <c r="G29" i="15" s="1"/>
  <c r="F28" i="15"/>
  <c r="E28" i="15"/>
  <c r="H28" i="15" s="1"/>
  <c r="I28" i="15" s="1"/>
  <c r="F27" i="15"/>
  <c r="E27" i="15"/>
  <c r="H27" i="15" s="1"/>
  <c r="I27" i="15" s="1"/>
  <c r="F26" i="15"/>
  <c r="E26" i="15"/>
  <c r="H26" i="15" s="1"/>
  <c r="I26" i="15" s="1"/>
  <c r="F25" i="15"/>
  <c r="E25" i="15"/>
  <c r="G25" i="15" s="1"/>
  <c r="H24" i="15"/>
  <c r="I24" i="15" s="1"/>
  <c r="G24" i="15"/>
  <c r="F24" i="15"/>
  <c r="E24" i="15"/>
  <c r="F23" i="15"/>
  <c r="E23" i="15"/>
  <c r="H23" i="15" s="1"/>
  <c r="I23" i="15" s="1"/>
  <c r="F22" i="15"/>
  <c r="D23" i="15" s="1"/>
  <c r="E22" i="15"/>
  <c r="H22" i="15" s="1"/>
  <c r="I22" i="15" s="1"/>
  <c r="H21" i="15"/>
  <c r="I21" i="15" s="1"/>
  <c r="G21" i="15"/>
  <c r="F21" i="15"/>
  <c r="E21" i="15"/>
  <c r="F20" i="15"/>
  <c r="E20" i="15"/>
  <c r="H20" i="15" s="1"/>
  <c r="I20" i="15" s="1"/>
  <c r="F19" i="15"/>
  <c r="E19" i="15"/>
  <c r="H19" i="15" s="1"/>
  <c r="I19" i="15" s="1"/>
  <c r="H18" i="15"/>
  <c r="I18" i="15" s="1"/>
  <c r="G18" i="15"/>
  <c r="F18" i="15"/>
  <c r="E18" i="15"/>
  <c r="F17" i="15"/>
  <c r="E17" i="15"/>
  <c r="G17" i="15" s="1"/>
  <c r="H16" i="15"/>
  <c r="I16" i="15" s="1"/>
  <c r="F16" i="15"/>
  <c r="E16" i="15"/>
  <c r="G16" i="15" s="1"/>
  <c r="F15" i="15"/>
  <c r="E15" i="15"/>
  <c r="H15" i="15" s="1"/>
  <c r="I15" i="15" s="1"/>
  <c r="F14" i="15"/>
  <c r="E14" i="15"/>
  <c r="H14" i="15" s="1"/>
  <c r="I14" i="15" s="1"/>
  <c r="H13" i="15"/>
  <c r="I13" i="15" s="1"/>
  <c r="G13" i="15"/>
  <c r="F13" i="15"/>
  <c r="E13" i="15"/>
  <c r="F12" i="15"/>
  <c r="E12" i="15"/>
  <c r="H12" i="15" s="1"/>
  <c r="I12" i="15" s="1"/>
  <c r="F11" i="15"/>
  <c r="E11" i="15"/>
  <c r="H11" i="15" s="1"/>
  <c r="I11" i="15" s="1"/>
  <c r="H10" i="15"/>
  <c r="I10" i="15" s="1"/>
  <c r="G10" i="15"/>
  <c r="F10" i="15"/>
  <c r="E10" i="15"/>
  <c r="F9" i="15"/>
  <c r="E9" i="15"/>
  <c r="H9" i="15" s="1"/>
  <c r="I9" i="15" s="1"/>
  <c r="F8" i="15"/>
  <c r="E8" i="15"/>
  <c r="G8" i="15" s="1"/>
  <c r="F7" i="15"/>
  <c r="E7" i="15"/>
  <c r="H7" i="15" s="1"/>
  <c r="I7" i="15" s="1"/>
  <c r="F6" i="15"/>
  <c r="E6" i="15"/>
  <c r="H6" i="15" s="1"/>
  <c r="I6" i="15" s="1"/>
  <c r="F5" i="15"/>
  <c r="E5" i="15"/>
  <c r="H5" i="15" s="1"/>
  <c r="I5" i="15" s="1"/>
  <c r="F4" i="15"/>
  <c r="E4" i="15"/>
  <c r="H4" i="15" s="1"/>
  <c r="I4" i="15" s="1"/>
  <c r="F3" i="15"/>
  <c r="E3" i="15"/>
  <c r="H3" i="15" s="1"/>
  <c r="I3" i="15" s="1"/>
  <c r="I2" i="15"/>
  <c r="F36" i="14"/>
  <c r="E36" i="14"/>
  <c r="H36" i="14" s="1"/>
  <c r="I36" i="14" s="1"/>
  <c r="H35" i="14"/>
  <c r="I35" i="14" s="1"/>
  <c r="F35" i="14"/>
  <c r="E35" i="14"/>
  <c r="G35" i="14" s="1"/>
  <c r="H34" i="14"/>
  <c r="I34" i="14" s="1"/>
  <c r="G34" i="14"/>
  <c r="F34" i="14"/>
  <c r="D34" i="14" s="1"/>
  <c r="E34" i="14"/>
  <c r="F33" i="14"/>
  <c r="E33" i="14"/>
  <c r="H33" i="14" s="1"/>
  <c r="I33" i="14" s="1"/>
  <c r="F32" i="14"/>
  <c r="E32" i="14"/>
  <c r="H32" i="14" s="1"/>
  <c r="I32" i="14" s="1"/>
  <c r="H31" i="14"/>
  <c r="I31" i="14" s="1"/>
  <c r="G31" i="14"/>
  <c r="F31" i="14"/>
  <c r="E31" i="14"/>
  <c r="F30" i="14"/>
  <c r="E30" i="14"/>
  <c r="H30" i="14" s="1"/>
  <c r="I30" i="14" s="1"/>
  <c r="H29" i="14"/>
  <c r="I29" i="14" s="1"/>
  <c r="F29" i="14"/>
  <c r="E29" i="14"/>
  <c r="G29" i="14" s="1"/>
  <c r="F28" i="14"/>
  <c r="E28" i="14"/>
  <c r="H28" i="14" s="1"/>
  <c r="I28" i="14" s="1"/>
  <c r="F27" i="14"/>
  <c r="E27" i="14"/>
  <c r="H27" i="14" s="1"/>
  <c r="I27" i="14" s="1"/>
  <c r="H26" i="14"/>
  <c r="I26" i="14" s="1"/>
  <c r="G26" i="14"/>
  <c r="F26" i="14"/>
  <c r="E26" i="14"/>
  <c r="F25" i="14"/>
  <c r="E25" i="14"/>
  <c r="H25" i="14" s="1"/>
  <c r="I25" i="14" s="1"/>
  <c r="F24" i="14"/>
  <c r="E24" i="14"/>
  <c r="H24" i="14" s="1"/>
  <c r="I24" i="14" s="1"/>
  <c r="H23" i="14"/>
  <c r="I23" i="14" s="1"/>
  <c r="G23" i="14"/>
  <c r="F23" i="14"/>
  <c r="E23" i="14"/>
  <c r="F22" i="14"/>
  <c r="E22" i="14"/>
  <c r="H22" i="14" s="1"/>
  <c r="I22" i="14" s="1"/>
  <c r="H21" i="14"/>
  <c r="I21" i="14" s="1"/>
  <c r="F21" i="14"/>
  <c r="E21" i="14"/>
  <c r="G21" i="14" s="1"/>
  <c r="F20" i="14"/>
  <c r="E20" i="14"/>
  <c r="H20" i="14" s="1"/>
  <c r="I20" i="14" s="1"/>
  <c r="F19" i="14"/>
  <c r="E19" i="14"/>
  <c r="H19" i="14" s="1"/>
  <c r="I19" i="14" s="1"/>
  <c r="H18" i="14"/>
  <c r="I18" i="14" s="1"/>
  <c r="G18" i="14"/>
  <c r="F18" i="14"/>
  <c r="E18" i="14"/>
  <c r="F17" i="14"/>
  <c r="E17" i="14"/>
  <c r="H17" i="14" s="1"/>
  <c r="I17" i="14" s="1"/>
  <c r="F16" i="14"/>
  <c r="E16" i="14"/>
  <c r="H16" i="14" s="1"/>
  <c r="I16" i="14" s="1"/>
  <c r="H15" i="14"/>
  <c r="I15" i="14" s="1"/>
  <c r="G15" i="14"/>
  <c r="F15" i="14"/>
  <c r="E15" i="14"/>
  <c r="F14" i="14"/>
  <c r="E14" i="14"/>
  <c r="H14" i="14" s="1"/>
  <c r="I14" i="14" s="1"/>
  <c r="H13" i="14"/>
  <c r="I13" i="14" s="1"/>
  <c r="F13" i="14"/>
  <c r="E13" i="14"/>
  <c r="G13" i="14" s="1"/>
  <c r="F12" i="14"/>
  <c r="E12" i="14"/>
  <c r="H12" i="14" s="1"/>
  <c r="I12" i="14" s="1"/>
  <c r="F11" i="14"/>
  <c r="E11" i="14"/>
  <c r="H11" i="14" s="1"/>
  <c r="I11" i="14" s="1"/>
  <c r="H10" i="14"/>
  <c r="I10" i="14" s="1"/>
  <c r="G10" i="14"/>
  <c r="F10" i="14"/>
  <c r="E10" i="14"/>
  <c r="F9" i="14"/>
  <c r="E9" i="14"/>
  <c r="H9" i="14" s="1"/>
  <c r="I9" i="14" s="1"/>
  <c r="F8" i="14"/>
  <c r="E8" i="14"/>
  <c r="H8" i="14" s="1"/>
  <c r="I8" i="14" s="1"/>
  <c r="H7" i="14"/>
  <c r="I7" i="14" s="1"/>
  <c r="G7" i="14"/>
  <c r="F7" i="14"/>
  <c r="E7" i="14"/>
  <c r="F6" i="14"/>
  <c r="E6" i="14"/>
  <c r="H6" i="14" s="1"/>
  <c r="I6" i="14" s="1"/>
  <c r="H5" i="14"/>
  <c r="I5" i="14" s="1"/>
  <c r="F5" i="14"/>
  <c r="E5" i="14"/>
  <c r="G5" i="14" s="1"/>
  <c r="F4" i="14"/>
  <c r="E4" i="14"/>
  <c r="H4" i="14" s="1"/>
  <c r="I4" i="14" s="1"/>
  <c r="F3" i="14"/>
  <c r="E3" i="14"/>
  <c r="H3" i="14" s="1"/>
  <c r="I3" i="14" s="1"/>
  <c r="I2" i="14"/>
  <c r="F27" i="13"/>
  <c r="E27" i="13"/>
  <c r="H27" i="13" s="1"/>
  <c r="I27" i="13" s="1"/>
  <c r="I26" i="13"/>
  <c r="H26" i="13"/>
  <c r="F26" i="13"/>
  <c r="E26" i="13"/>
  <c r="G26" i="13" s="1"/>
  <c r="H25" i="13"/>
  <c r="I25" i="13" s="1"/>
  <c r="G25" i="13"/>
  <c r="F25" i="13"/>
  <c r="E25" i="13"/>
  <c r="F24" i="13"/>
  <c r="D24" i="13" s="1"/>
  <c r="E24" i="13"/>
  <c r="H24" i="13" s="1"/>
  <c r="I24" i="13" s="1"/>
  <c r="F23" i="13"/>
  <c r="E23" i="13"/>
  <c r="H23" i="13" s="1"/>
  <c r="I23" i="13" s="1"/>
  <c r="D23" i="13"/>
  <c r="I22" i="13"/>
  <c r="H22" i="13"/>
  <c r="F22" i="13"/>
  <c r="E22" i="13"/>
  <c r="G22" i="13" s="1"/>
  <c r="D22" i="13"/>
  <c r="H21" i="13"/>
  <c r="I21" i="13" s="1"/>
  <c r="G21" i="13"/>
  <c r="F21" i="13"/>
  <c r="E21" i="13"/>
  <c r="F20" i="13"/>
  <c r="E20" i="13"/>
  <c r="G20" i="13" s="1"/>
  <c r="I19" i="13"/>
  <c r="H19" i="13"/>
  <c r="F19" i="13"/>
  <c r="E19" i="13"/>
  <c r="G19" i="13" s="1"/>
  <c r="H18" i="13"/>
  <c r="I18" i="13" s="1"/>
  <c r="G18" i="13"/>
  <c r="F18" i="13"/>
  <c r="E18" i="13"/>
  <c r="F17" i="13"/>
  <c r="E17" i="13"/>
  <c r="H17" i="13" s="1"/>
  <c r="I17" i="13" s="1"/>
  <c r="H16" i="13"/>
  <c r="I16" i="13" s="1"/>
  <c r="G16" i="13"/>
  <c r="F16" i="13"/>
  <c r="E16" i="13"/>
  <c r="F15" i="13"/>
  <c r="E15" i="13"/>
  <c r="G15" i="13" s="1"/>
  <c r="F14" i="13"/>
  <c r="E14" i="13"/>
  <c r="H14" i="13" s="1"/>
  <c r="I14" i="13" s="1"/>
  <c r="H13" i="13"/>
  <c r="I13" i="13" s="1"/>
  <c r="G13" i="13"/>
  <c r="F13" i="13"/>
  <c r="E13" i="13"/>
  <c r="F12" i="13"/>
  <c r="E12" i="13"/>
  <c r="G12" i="13" s="1"/>
  <c r="I11" i="13"/>
  <c r="H11" i="13"/>
  <c r="F11" i="13"/>
  <c r="E11" i="13"/>
  <c r="G11" i="13" s="1"/>
  <c r="H10" i="13"/>
  <c r="I10" i="13" s="1"/>
  <c r="G10" i="13"/>
  <c r="F10" i="13"/>
  <c r="E10" i="13"/>
  <c r="F9" i="13"/>
  <c r="E9" i="13"/>
  <c r="H9" i="13" s="1"/>
  <c r="I9" i="13" s="1"/>
  <c r="H8" i="13"/>
  <c r="I8" i="13" s="1"/>
  <c r="G8" i="13"/>
  <c r="F8" i="13"/>
  <c r="E8" i="13"/>
  <c r="F7" i="13"/>
  <c r="E7" i="13"/>
  <c r="H7" i="13" s="1"/>
  <c r="I7" i="13" s="1"/>
  <c r="F6" i="13"/>
  <c r="E6" i="13"/>
  <c r="H6" i="13" s="1"/>
  <c r="I6" i="13" s="1"/>
  <c r="H5" i="13"/>
  <c r="I5" i="13" s="1"/>
  <c r="G5" i="13"/>
  <c r="F5" i="13"/>
  <c r="E5" i="13"/>
  <c r="F4" i="13"/>
  <c r="E4" i="13"/>
  <c r="G4" i="13" s="1"/>
  <c r="I3" i="13"/>
  <c r="H3" i="13"/>
  <c r="F3" i="13"/>
  <c r="E3" i="13"/>
  <c r="G3" i="13" s="1"/>
  <c r="I2" i="13"/>
  <c r="F36" i="12"/>
  <c r="E36" i="12"/>
  <c r="H36" i="12" s="1"/>
  <c r="I36" i="12" s="1"/>
  <c r="H35" i="12"/>
  <c r="I35" i="12" s="1"/>
  <c r="F35" i="12"/>
  <c r="E35" i="12"/>
  <c r="G35" i="12" s="1"/>
  <c r="H34" i="12"/>
  <c r="I34" i="12" s="1"/>
  <c r="G34" i="12"/>
  <c r="F34" i="12"/>
  <c r="D34" i="12" s="1"/>
  <c r="E34" i="12"/>
  <c r="F33" i="12"/>
  <c r="E33" i="12"/>
  <c r="H33" i="12" s="1"/>
  <c r="I33" i="12" s="1"/>
  <c r="F32" i="12"/>
  <c r="E32" i="12"/>
  <c r="H32" i="12" s="1"/>
  <c r="I32" i="12" s="1"/>
  <c r="H31" i="12"/>
  <c r="I31" i="12" s="1"/>
  <c r="F31" i="12"/>
  <c r="E31" i="12"/>
  <c r="G31" i="12" s="1"/>
  <c r="H30" i="12"/>
  <c r="I30" i="12" s="1"/>
  <c r="G30" i="12"/>
  <c r="F30" i="12"/>
  <c r="D31" i="12" s="1"/>
  <c r="D32" i="12" s="1"/>
  <c r="D33" i="12" s="1"/>
  <c r="E30" i="12"/>
  <c r="F29" i="12"/>
  <c r="E29" i="12"/>
  <c r="G29" i="12" s="1"/>
  <c r="H28" i="12"/>
  <c r="I28" i="12" s="1"/>
  <c r="F28" i="12"/>
  <c r="E28" i="12"/>
  <c r="G28" i="12" s="1"/>
  <c r="F27" i="12"/>
  <c r="E27" i="12"/>
  <c r="H27" i="12" s="1"/>
  <c r="I27" i="12" s="1"/>
  <c r="F26" i="12"/>
  <c r="E26" i="12"/>
  <c r="H26" i="12" s="1"/>
  <c r="I26" i="12" s="1"/>
  <c r="H25" i="12"/>
  <c r="I25" i="12" s="1"/>
  <c r="G25" i="12"/>
  <c r="F25" i="12"/>
  <c r="E25" i="12"/>
  <c r="F24" i="12"/>
  <c r="E24" i="12"/>
  <c r="H24" i="12" s="1"/>
  <c r="I24" i="12" s="1"/>
  <c r="F23" i="12"/>
  <c r="E23" i="12"/>
  <c r="H23" i="12" s="1"/>
  <c r="I23" i="12" s="1"/>
  <c r="H22" i="12"/>
  <c r="I22" i="12" s="1"/>
  <c r="G22" i="12"/>
  <c r="F22" i="12"/>
  <c r="E22" i="12"/>
  <c r="F21" i="12"/>
  <c r="E21" i="12"/>
  <c r="G21" i="12" s="1"/>
  <c r="H20" i="12"/>
  <c r="I20" i="12" s="1"/>
  <c r="F20" i="12"/>
  <c r="E20" i="12"/>
  <c r="G20" i="12" s="1"/>
  <c r="F19" i="12"/>
  <c r="E19" i="12"/>
  <c r="H19" i="12" s="1"/>
  <c r="I19" i="12" s="1"/>
  <c r="F18" i="12"/>
  <c r="E18" i="12"/>
  <c r="H18" i="12" s="1"/>
  <c r="I18" i="12" s="1"/>
  <c r="H17" i="12"/>
  <c r="I17" i="12" s="1"/>
  <c r="G17" i="12"/>
  <c r="F17" i="12"/>
  <c r="E17" i="12"/>
  <c r="F16" i="12"/>
  <c r="E16" i="12"/>
  <c r="H16" i="12" s="1"/>
  <c r="I16" i="12" s="1"/>
  <c r="F15" i="12"/>
  <c r="E15" i="12"/>
  <c r="H15" i="12" s="1"/>
  <c r="I15" i="12" s="1"/>
  <c r="H14" i="12"/>
  <c r="I14" i="12" s="1"/>
  <c r="G14" i="12"/>
  <c r="F14" i="12"/>
  <c r="E14" i="12"/>
  <c r="F13" i="12"/>
  <c r="E13" i="12"/>
  <c r="G13" i="12" s="1"/>
  <c r="H12" i="12"/>
  <c r="I12" i="12" s="1"/>
  <c r="F12" i="12"/>
  <c r="E12" i="12"/>
  <c r="G12" i="12" s="1"/>
  <c r="F11" i="12"/>
  <c r="E11" i="12"/>
  <c r="H11" i="12" s="1"/>
  <c r="I11" i="12" s="1"/>
  <c r="F10" i="12"/>
  <c r="E10" i="12"/>
  <c r="H10" i="12" s="1"/>
  <c r="I10" i="12" s="1"/>
  <c r="H9" i="12"/>
  <c r="I9" i="12" s="1"/>
  <c r="G9" i="12"/>
  <c r="F9" i="12"/>
  <c r="E9" i="12"/>
  <c r="F8" i="12"/>
  <c r="E8" i="12"/>
  <c r="H8" i="12" s="1"/>
  <c r="I8" i="12" s="1"/>
  <c r="F7" i="12"/>
  <c r="E7" i="12"/>
  <c r="H7" i="12" s="1"/>
  <c r="I7" i="12" s="1"/>
  <c r="H6" i="12"/>
  <c r="I6" i="12" s="1"/>
  <c r="G6" i="12"/>
  <c r="F6" i="12"/>
  <c r="E6" i="12"/>
  <c r="F5" i="12"/>
  <c r="E5" i="12"/>
  <c r="G5" i="12" s="1"/>
  <c r="H4" i="12"/>
  <c r="I4" i="12" s="1"/>
  <c r="F4" i="12"/>
  <c r="E4" i="12"/>
  <c r="G4" i="12" s="1"/>
  <c r="F3" i="12"/>
  <c r="E3" i="12"/>
  <c r="H3" i="12" s="1"/>
  <c r="I3" i="12" s="1"/>
  <c r="I2" i="12"/>
  <c r="F37" i="11"/>
  <c r="E37" i="11"/>
  <c r="H37" i="11" s="1"/>
  <c r="I37" i="11" s="1"/>
  <c r="F36" i="11"/>
  <c r="E36" i="11"/>
  <c r="H36" i="11" s="1"/>
  <c r="I36" i="11" s="1"/>
  <c r="F35" i="11"/>
  <c r="E35" i="11"/>
  <c r="H35" i="11" s="1"/>
  <c r="I35" i="11" s="1"/>
  <c r="F34" i="11"/>
  <c r="E34" i="11"/>
  <c r="H34" i="11" s="1"/>
  <c r="I34" i="11" s="1"/>
  <c r="F33" i="11"/>
  <c r="E33" i="11"/>
  <c r="H33" i="11" s="1"/>
  <c r="I33" i="11" s="1"/>
  <c r="F32" i="11"/>
  <c r="E32" i="11"/>
  <c r="H32" i="11" s="1"/>
  <c r="I32" i="11" s="1"/>
  <c r="F31" i="11"/>
  <c r="E31" i="11"/>
  <c r="H31" i="11" s="1"/>
  <c r="I31" i="11" s="1"/>
  <c r="F30" i="11"/>
  <c r="E30" i="11"/>
  <c r="H30" i="11" s="1"/>
  <c r="I30" i="11" s="1"/>
  <c r="F29" i="11"/>
  <c r="E29" i="11"/>
  <c r="H29" i="11" s="1"/>
  <c r="I29" i="11" s="1"/>
  <c r="F28" i="11"/>
  <c r="E28" i="11"/>
  <c r="H28" i="11" s="1"/>
  <c r="I28" i="11" s="1"/>
  <c r="F27" i="11"/>
  <c r="E27" i="11"/>
  <c r="G27" i="11" s="1"/>
  <c r="F26" i="11"/>
  <c r="E26" i="11"/>
  <c r="H26" i="11" s="1"/>
  <c r="I26" i="11" s="1"/>
  <c r="F25" i="11"/>
  <c r="E25" i="11"/>
  <c r="H25" i="11" s="1"/>
  <c r="I25" i="11" s="1"/>
  <c r="F24" i="11"/>
  <c r="E24" i="11"/>
  <c r="H24" i="11" s="1"/>
  <c r="I24" i="11" s="1"/>
  <c r="G23" i="11"/>
  <c r="F23" i="11"/>
  <c r="E23" i="11"/>
  <c r="H23" i="11" s="1"/>
  <c r="I23" i="11" s="1"/>
  <c r="F22" i="11"/>
  <c r="E22" i="11"/>
  <c r="H22" i="11" s="1"/>
  <c r="I22" i="11" s="1"/>
  <c r="F21" i="11"/>
  <c r="E21" i="11"/>
  <c r="H21" i="11" s="1"/>
  <c r="I21" i="11" s="1"/>
  <c r="G20" i="11"/>
  <c r="F20" i="11"/>
  <c r="E20" i="11"/>
  <c r="H20" i="11" s="1"/>
  <c r="I20" i="11" s="1"/>
  <c r="F19" i="11"/>
  <c r="E19" i="11"/>
  <c r="G19" i="11" s="1"/>
  <c r="F18" i="11"/>
  <c r="E18" i="11"/>
  <c r="H18" i="11" s="1"/>
  <c r="I18" i="11" s="1"/>
  <c r="F17" i="11"/>
  <c r="E17" i="11"/>
  <c r="H17" i="11" s="1"/>
  <c r="I17" i="11" s="1"/>
  <c r="F16" i="11"/>
  <c r="E16" i="11"/>
  <c r="H16" i="11" s="1"/>
  <c r="I16" i="11" s="1"/>
  <c r="F15" i="11"/>
  <c r="E15" i="11"/>
  <c r="G15" i="11" s="1"/>
  <c r="F14" i="11"/>
  <c r="E14" i="11"/>
  <c r="H14" i="11" s="1"/>
  <c r="I14" i="11" s="1"/>
  <c r="F13" i="11"/>
  <c r="E13" i="11"/>
  <c r="H13" i="11" s="1"/>
  <c r="I13" i="11" s="1"/>
  <c r="F12" i="11"/>
  <c r="E12" i="11"/>
  <c r="H12" i="11" s="1"/>
  <c r="I12" i="11" s="1"/>
  <c r="F11" i="11"/>
  <c r="E11" i="11"/>
  <c r="G11" i="11" s="1"/>
  <c r="F10" i="11"/>
  <c r="E10" i="11"/>
  <c r="H10" i="11" s="1"/>
  <c r="I10" i="11" s="1"/>
  <c r="F9" i="11"/>
  <c r="E9" i="11"/>
  <c r="H9" i="11" s="1"/>
  <c r="I9" i="11" s="1"/>
  <c r="F8" i="11"/>
  <c r="E8" i="11"/>
  <c r="H8" i="11" s="1"/>
  <c r="I8" i="11" s="1"/>
  <c r="F7" i="11"/>
  <c r="E7" i="11"/>
  <c r="G7" i="11" s="1"/>
  <c r="F6" i="11"/>
  <c r="E6" i="11"/>
  <c r="H6" i="11" s="1"/>
  <c r="I6" i="11" s="1"/>
  <c r="F5" i="11"/>
  <c r="E5" i="11"/>
  <c r="H5" i="11" s="1"/>
  <c r="I5" i="11" s="1"/>
  <c r="F4" i="11"/>
  <c r="E4" i="11"/>
  <c r="G4" i="11" s="1"/>
  <c r="F3" i="11"/>
  <c r="E3" i="11"/>
  <c r="G3" i="11" s="1"/>
  <c r="I2" i="11"/>
  <c r="F23" i="10"/>
  <c r="E23" i="10"/>
  <c r="H23" i="10" s="1"/>
  <c r="I23" i="10" s="1"/>
  <c r="H22" i="10"/>
  <c r="I22" i="10" s="1"/>
  <c r="F22" i="10"/>
  <c r="E22" i="10"/>
  <c r="G22" i="10" s="1"/>
  <c r="H21" i="10"/>
  <c r="I21" i="10" s="1"/>
  <c r="G21" i="10"/>
  <c r="F21" i="10"/>
  <c r="D22" i="10" s="1"/>
  <c r="D23" i="10" s="1"/>
  <c r="E21" i="10"/>
  <c r="F20" i="10"/>
  <c r="E20" i="10"/>
  <c r="H20" i="10" s="1"/>
  <c r="I20" i="10" s="1"/>
  <c r="H19" i="10"/>
  <c r="I19" i="10" s="1"/>
  <c r="F19" i="10"/>
  <c r="E19" i="10"/>
  <c r="G19" i="10" s="1"/>
  <c r="F18" i="10"/>
  <c r="E18" i="10"/>
  <c r="H18" i="10" s="1"/>
  <c r="I18" i="10" s="1"/>
  <c r="F17" i="10"/>
  <c r="E17" i="10"/>
  <c r="H17" i="10" s="1"/>
  <c r="I17" i="10" s="1"/>
  <c r="H16" i="10"/>
  <c r="I16" i="10" s="1"/>
  <c r="G16" i="10"/>
  <c r="F16" i="10"/>
  <c r="E16" i="10"/>
  <c r="F15" i="10"/>
  <c r="E15" i="10"/>
  <c r="H15" i="10" s="1"/>
  <c r="I15" i="10" s="1"/>
  <c r="F14" i="10"/>
  <c r="E14" i="10"/>
  <c r="H14" i="10" s="1"/>
  <c r="I14" i="10" s="1"/>
  <c r="H13" i="10"/>
  <c r="I13" i="10" s="1"/>
  <c r="G13" i="10"/>
  <c r="F13" i="10"/>
  <c r="E13" i="10"/>
  <c r="F12" i="10"/>
  <c r="E12" i="10"/>
  <c r="H12" i="10" s="1"/>
  <c r="I12" i="10" s="1"/>
  <c r="H11" i="10"/>
  <c r="I11" i="10" s="1"/>
  <c r="F11" i="10"/>
  <c r="E11" i="10"/>
  <c r="G11" i="10" s="1"/>
  <c r="F10" i="10"/>
  <c r="E10" i="10"/>
  <c r="H10" i="10" s="1"/>
  <c r="I10" i="10" s="1"/>
  <c r="F9" i="10"/>
  <c r="E9" i="10"/>
  <c r="H9" i="10" s="1"/>
  <c r="I9" i="10" s="1"/>
  <c r="H8" i="10"/>
  <c r="I8" i="10" s="1"/>
  <c r="G8" i="10"/>
  <c r="F8" i="10"/>
  <c r="E8" i="10"/>
  <c r="F7" i="10"/>
  <c r="E7" i="10"/>
  <c r="H7" i="10" s="1"/>
  <c r="I7" i="10" s="1"/>
  <c r="F6" i="10"/>
  <c r="E6" i="10"/>
  <c r="H6" i="10" s="1"/>
  <c r="I6" i="10" s="1"/>
  <c r="H5" i="10"/>
  <c r="I5" i="10" s="1"/>
  <c r="G5" i="10"/>
  <c r="F5" i="10"/>
  <c r="E5" i="10"/>
  <c r="F4" i="10"/>
  <c r="E4" i="10"/>
  <c r="H4" i="10" s="1"/>
  <c r="I4" i="10" s="1"/>
  <c r="H3" i="10"/>
  <c r="I3" i="10" s="1"/>
  <c r="F3" i="10"/>
  <c r="E3" i="10"/>
  <c r="G3" i="10" s="1"/>
  <c r="I2" i="10"/>
  <c r="H38" i="9"/>
  <c r="I38" i="9" s="1"/>
  <c r="F38" i="9"/>
  <c r="E38" i="9"/>
  <c r="G38" i="9" s="1"/>
  <c r="I37" i="9"/>
  <c r="H37" i="9"/>
  <c r="F37" i="9"/>
  <c r="D37" i="9" s="1"/>
  <c r="E37" i="9"/>
  <c r="G37" i="9" s="1"/>
  <c r="H36" i="9"/>
  <c r="I36" i="9" s="1"/>
  <c r="G36" i="9"/>
  <c r="F36" i="9"/>
  <c r="E36" i="9"/>
  <c r="F35" i="9"/>
  <c r="E35" i="9"/>
  <c r="H35" i="9" s="1"/>
  <c r="I35" i="9" s="1"/>
  <c r="I34" i="9"/>
  <c r="H34" i="9"/>
  <c r="G34" i="9"/>
  <c r="F34" i="9"/>
  <c r="E34" i="9"/>
  <c r="F33" i="9"/>
  <c r="E33" i="9"/>
  <c r="H33" i="9" s="1"/>
  <c r="I33" i="9" s="1"/>
  <c r="H32" i="9"/>
  <c r="I32" i="9" s="1"/>
  <c r="F32" i="9"/>
  <c r="E32" i="9"/>
  <c r="G32" i="9" s="1"/>
  <c r="H31" i="9"/>
  <c r="I31" i="9" s="1"/>
  <c r="G31" i="9"/>
  <c r="F31" i="9"/>
  <c r="E31" i="9"/>
  <c r="F30" i="9"/>
  <c r="E30" i="9"/>
  <c r="H30" i="9" s="1"/>
  <c r="I30" i="9" s="1"/>
  <c r="G29" i="9"/>
  <c r="F29" i="9"/>
  <c r="E29" i="9"/>
  <c r="H29" i="9" s="1"/>
  <c r="I29" i="9" s="1"/>
  <c r="H28" i="9"/>
  <c r="I28" i="9" s="1"/>
  <c r="G28" i="9"/>
  <c r="F28" i="9"/>
  <c r="E28" i="9"/>
  <c r="F27" i="9"/>
  <c r="E27" i="9"/>
  <c r="H27" i="9" s="1"/>
  <c r="I27" i="9" s="1"/>
  <c r="I26" i="9"/>
  <c r="H26" i="9"/>
  <c r="G26" i="9"/>
  <c r="F26" i="9"/>
  <c r="E26" i="9"/>
  <c r="F25" i="9"/>
  <c r="E25" i="9"/>
  <c r="H25" i="9" s="1"/>
  <c r="I25" i="9" s="1"/>
  <c r="H24" i="9"/>
  <c r="I24" i="9" s="1"/>
  <c r="F24" i="9"/>
  <c r="E24" i="9"/>
  <c r="G24" i="9" s="1"/>
  <c r="H23" i="9"/>
  <c r="I23" i="9" s="1"/>
  <c r="G23" i="9"/>
  <c r="F23" i="9"/>
  <c r="E23" i="9"/>
  <c r="F22" i="9"/>
  <c r="E22" i="9"/>
  <c r="H22" i="9" s="1"/>
  <c r="I22" i="9" s="1"/>
  <c r="I21" i="9"/>
  <c r="H21" i="9"/>
  <c r="G21" i="9"/>
  <c r="F21" i="9"/>
  <c r="E21" i="9"/>
  <c r="H20" i="9"/>
  <c r="I20" i="9" s="1"/>
  <c r="G20" i="9"/>
  <c r="F20" i="9"/>
  <c r="E20" i="9"/>
  <c r="F19" i="9"/>
  <c r="E19" i="9"/>
  <c r="H19" i="9" s="1"/>
  <c r="I19" i="9" s="1"/>
  <c r="I18" i="9"/>
  <c r="H18" i="9"/>
  <c r="G18" i="9"/>
  <c r="F18" i="9"/>
  <c r="E18" i="9"/>
  <c r="F17" i="9"/>
  <c r="E17" i="9"/>
  <c r="H17" i="9" s="1"/>
  <c r="I17" i="9" s="1"/>
  <c r="H16" i="9"/>
  <c r="I16" i="9" s="1"/>
  <c r="F16" i="9"/>
  <c r="E16" i="9"/>
  <c r="G16" i="9" s="1"/>
  <c r="H15" i="9"/>
  <c r="I15" i="9" s="1"/>
  <c r="G15" i="9"/>
  <c r="F15" i="9"/>
  <c r="E15" i="9"/>
  <c r="F14" i="9"/>
  <c r="E14" i="9"/>
  <c r="H14" i="9" s="1"/>
  <c r="I14" i="9" s="1"/>
  <c r="I13" i="9"/>
  <c r="H13" i="9"/>
  <c r="G13" i="9"/>
  <c r="F13" i="9"/>
  <c r="E13" i="9"/>
  <c r="H12" i="9"/>
  <c r="I12" i="9" s="1"/>
  <c r="G12" i="9"/>
  <c r="F12" i="9"/>
  <c r="E12" i="9"/>
  <c r="F11" i="9"/>
  <c r="E11" i="9"/>
  <c r="H11" i="9" s="1"/>
  <c r="I11" i="9" s="1"/>
  <c r="I10" i="9"/>
  <c r="H10" i="9"/>
  <c r="G10" i="9"/>
  <c r="F10" i="9"/>
  <c r="E10" i="9"/>
  <c r="F9" i="9"/>
  <c r="E9" i="9"/>
  <c r="H9" i="9" s="1"/>
  <c r="I9" i="9" s="1"/>
  <c r="H8" i="9"/>
  <c r="I8" i="9" s="1"/>
  <c r="F8" i="9"/>
  <c r="E8" i="9"/>
  <c r="G8" i="9" s="1"/>
  <c r="H7" i="9"/>
  <c r="I7" i="9" s="1"/>
  <c r="G7" i="9"/>
  <c r="F7" i="9"/>
  <c r="E7" i="9"/>
  <c r="F6" i="9"/>
  <c r="E6" i="9"/>
  <c r="H6" i="9" s="1"/>
  <c r="I6" i="9" s="1"/>
  <c r="G5" i="9"/>
  <c r="F5" i="9"/>
  <c r="E5" i="9"/>
  <c r="H5" i="9" s="1"/>
  <c r="I5" i="9" s="1"/>
  <c r="H4" i="9"/>
  <c r="I4" i="9" s="1"/>
  <c r="G4" i="9"/>
  <c r="F4" i="9"/>
  <c r="E4" i="9"/>
  <c r="F3" i="9"/>
  <c r="E3" i="9"/>
  <c r="H3" i="9" s="1"/>
  <c r="I3" i="9" s="1"/>
  <c r="I2" i="9"/>
  <c r="F30" i="8"/>
  <c r="E30" i="8"/>
  <c r="H30" i="8" s="1"/>
  <c r="I30" i="8" s="1"/>
  <c r="H29" i="8"/>
  <c r="I29" i="8" s="1"/>
  <c r="F29" i="8"/>
  <c r="E29" i="8"/>
  <c r="G29" i="8" s="1"/>
  <c r="H28" i="8"/>
  <c r="I28" i="8" s="1"/>
  <c r="G28" i="8"/>
  <c r="F28" i="8"/>
  <c r="D28" i="8" s="1"/>
  <c r="E28" i="8"/>
  <c r="F27" i="8"/>
  <c r="E27" i="8"/>
  <c r="G27" i="8" s="1"/>
  <c r="F26" i="8"/>
  <c r="E26" i="8"/>
  <c r="H26" i="8" s="1"/>
  <c r="I26" i="8" s="1"/>
  <c r="H25" i="8"/>
  <c r="I25" i="8" s="1"/>
  <c r="G25" i="8"/>
  <c r="F25" i="8"/>
  <c r="E25" i="8"/>
  <c r="F24" i="8"/>
  <c r="E24" i="8"/>
  <c r="H24" i="8" s="1"/>
  <c r="I24" i="8" s="1"/>
  <c r="H23" i="8"/>
  <c r="I23" i="8" s="1"/>
  <c r="F23" i="8"/>
  <c r="E23" i="8"/>
  <c r="G23" i="8" s="1"/>
  <c r="F22" i="8"/>
  <c r="E22" i="8"/>
  <c r="H22" i="8" s="1"/>
  <c r="I22" i="8" s="1"/>
  <c r="F21" i="8"/>
  <c r="E21" i="8"/>
  <c r="H21" i="8" s="1"/>
  <c r="I21" i="8" s="1"/>
  <c r="H20" i="8"/>
  <c r="I20" i="8" s="1"/>
  <c r="G20" i="8"/>
  <c r="F20" i="8"/>
  <c r="E20" i="8"/>
  <c r="F19" i="8"/>
  <c r="E19" i="8"/>
  <c r="G19" i="8" s="1"/>
  <c r="F18" i="8"/>
  <c r="E18" i="8"/>
  <c r="H18" i="8" s="1"/>
  <c r="I18" i="8" s="1"/>
  <c r="H17" i="8"/>
  <c r="I17" i="8" s="1"/>
  <c r="G17" i="8"/>
  <c r="F17" i="8"/>
  <c r="E17" i="8"/>
  <c r="F16" i="8"/>
  <c r="E16" i="8"/>
  <c r="H16" i="8" s="1"/>
  <c r="I16" i="8" s="1"/>
  <c r="H15" i="8"/>
  <c r="I15" i="8" s="1"/>
  <c r="F15" i="8"/>
  <c r="E15" i="8"/>
  <c r="G15" i="8" s="1"/>
  <c r="F14" i="8"/>
  <c r="E14" i="8"/>
  <c r="G14" i="8" s="1"/>
  <c r="F13" i="8"/>
  <c r="E13" i="8"/>
  <c r="H13" i="8" s="1"/>
  <c r="I13" i="8" s="1"/>
  <c r="H12" i="8"/>
  <c r="I12" i="8" s="1"/>
  <c r="G12" i="8"/>
  <c r="F12" i="8"/>
  <c r="E12" i="8"/>
  <c r="F11" i="8"/>
  <c r="E11" i="8"/>
  <c r="G11" i="8" s="1"/>
  <c r="F10" i="8"/>
  <c r="E10" i="8"/>
  <c r="H10" i="8" s="1"/>
  <c r="I10" i="8" s="1"/>
  <c r="H9" i="8"/>
  <c r="I9" i="8" s="1"/>
  <c r="G9" i="8"/>
  <c r="F9" i="8"/>
  <c r="E9" i="8"/>
  <c r="F8" i="8"/>
  <c r="E8" i="8"/>
  <c r="H8" i="8" s="1"/>
  <c r="I8" i="8" s="1"/>
  <c r="H7" i="8"/>
  <c r="I7" i="8" s="1"/>
  <c r="F7" i="8"/>
  <c r="E7" i="8"/>
  <c r="G7" i="8" s="1"/>
  <c r="F6" i="8"/>
  <c r="E6" i="8"/>
  <c r="H6" i="8" s="1"/>
  <c r="I6" i="8" s="1"/>
  <c r="F5" i="8"/>
  <c r="E5" i="8"/>
  <c r="H5" i="8" s="1"/>
  <c r="I5" i="8" s="1"/>
  <c r="H4" i="8"/>
  <c r="I4" i="8" s="1"/>
  <c r="G4" i="8"/>
  <c r="F4" i="8"/>
  <c r="E4" i="8"/>
  <c r="F3" i="8"/>
  <c r="E3" i="8"/>
  <c r="G3" i="8" s="1"/>
  <c r="I2" i="8"/>
  <c r="F27" i="7"/>
  <c r="E27" i="7"/>
  <c r="H27" i="7" s="1"/>
  <c r="I27" i="7" s="1"/>
  <c r="D27" i="7"/>
  <c r="H26" i="7"/>
  <c r="I26" i="7" s="1"/>
  <c r="F26" i="7"/>
  <c r="E26" i="7"/>
  <c r="G26" i="7" s="1"/>
  <c r="F25" i="7"/>
  <c r="E25" i="7"/>
  <c r="H25" i="7" s="1"/>
  <c r="I25" i="7" s="1"/>
  <c r="F24" i="7"/>
  <c r="E24" i="7"/>
  <c r="H24" i="7" s="1"/>
  <c r="I24" i="7" s="1"/>
  <c r="H23" i="7"/>
  <c r="I23" i="7" s="1"/>
  <c r="G23" i="7"/>
  <c r="F23" i="7"/>
  <c r="E23" i="7"/>
  <c r="F22" i="7"/>
  <c r="E22" i="7"/>
  <c r="H22" i="7" s="1"/>
  <c r="I22" i="7" s="1"/>
  <c r="F21" i="7"/>
  <c r="E21" i="7"/>
  <c r="H21" i="7" s="1"/>
  <c r="I21" i="7" s="1"/>
  <c r="H20" i="7"/>
  <c r="I20" i="7" s="1"/>
  <c r="G20" i="7"/>
  <c r="F20" i="7"/>
  <c r="E20" i="7"/>
  <c r="F19" i="7"/>
  <c r="E19" i="7"/>
  <c r="H19" i="7" s="1"/>
  <c r="I19" i="7" s="1"/>
  <c r="H18" i="7"/>
  <c r="I18" i="7" s="1"/>
  <c r="F18" i="7"/>
  <c r="E18" i="7"/>
  <c r="G18" i="7" s="1"/>
  <c r="F17" i="7"/>
  <c r="E17" i="7"/>
  <c r="H17" i="7" s="1"/>
  <c r="I17" i="7" s="1"/>
  <c r="F16" i="7"/>
  <c r="E16" i="7"/>
  <c r="H16" i="7" s="1"/>
  <c r="I16" i="7" s="1"/>
  <c r="H15" i="7"/>
  <c r="I15" i="7" s="1"/>
  <c r="G15" i="7"/>
  <c r="F15" i="7"/>
  <c r="E15" i="7"/>
  <c r="F14" i="7"/>
  <c r="E14" i="7"/>
  <c r="H14" i="7" s="1"/>
  <c r="I14" i="7" s="1"/>
  <c r="F13" i="7"/>
  <c r="E13" i="7"/>
  <c r="H13" i="7" s="1"/>
  <c r="I13" i="7" s="1"/>
  <c r="H12" i="7"/>
  <c r="I12" i="7" s="1"/>
  <c r="G12" i="7"/>
  <c r="F12" i="7"/>
  <c r="E12" i="7"/>
  <c r="F11" i="7"/>
  <c r="E11" i="7"/>
  <c r="H11" i="7" s="1"/>
  <c r="I11" i="7" s="1"/>
  <c r="H10" i="7"/>
  <c r="I10" i="7" s="1"/>
  <c r="F10" i="7"/>
  <c r="E10" i="7"/>
  <c r="G10" i="7" s="1"/>
  <c r="F9" i="7"/>
  <c r="E9" i="7"/>
  <c r="H9" i="7" s="1"/>
  <c r="I9" i="7" s="1"/>
  <c r="F8" i="7"/>
  <c r="E8" i="7"/>
  <c r="H8" i="7" s="1"/>
  <c r="I8" i="7" s="1"/>
  <c r="H7" i="7"/>
  <c r="I7" i="7" s="1"/>
  <c r="G7" i="7"/>
  <c r="F7" i="7"/>
  <c r="E7" i="7"/>
  <c r="F6" i="7"/>
  <c r="E6" i="7"/>
  <c r="H6" i="7" s="1"/>
  <c r="I6" i="7" s="1"/>
  <c r="F5" i="7"/>
  <c r="E5" i="7"/>
  <c r="H5" i="7" s="1"/>
  <c r="I5" i="7" s="1"/>
  <c r="H4" i="7"/>
  <c r="I4" i="7" s="1"/>
  <c r="G4" i="7"/>
  <c r="F4" i="7"/>
  <c r="E4" i="7"/>
  <c r="F3" i="7"/>
  <c r="E3" i="7"/>
  <c r="H3" i="7" s="1"/>
  <c r="I3" i="7" s="1"/>
  <c r="I2" i="7"/>
  <c r="I39" i="6"/>
  <c r="H39" i="6"/>
  <c r="G39" i="6"/>
  <c r="F39" i="6"/>
  <c r="E39" i="6"/>
  <c r="H38" i="6"/>
  <c r="I38" i="6" s="1"/>
  <c r="G38" i="6"/>
  <c r="F38" i="6"/>
  <c r="E38" i="6"/>
  <c r="F37" i="6"/>
  <c r="E37" i="6"/>
  <c r="H37" i="6" s="1"/>
  <c r="I37" i="6" s="1"/>
  <c r="I36" i="6"/>
  <c r="H36" i="6"/>
  <c r="G36" i="6"/>
  <c r="F36" i="6"/>
  <c r="E36" i="6"/>
  <c r="H35" i="6"/>
  <c r="I35" i="6" s="1"/>
  <c r="G35" i="6"/>
  <c r="F35" i="6"/>
  <c r="E35" i="6"/>
  <c r="H34" i="6"/>
  <c r="I34" i="6" s="1"/>
  <c r="G34" i="6"/>
  <c r="F34" i="6"/>
  <c r="D34" i="6" s="1"/>
  <c r="E34" i="6"/>
  <c r="F33" i="6"/>
  <c r="E33" i="6"/>
  <c r="H33" i="6" s="1"/>
  <c r="I33" i="6" s="1"/>
  <c r="D33" i="6"/>
  <c r="I32" i="6"/>
  <c r="H32" i="6"/>
  <c r="G32" i="6"/>
  <c r="F32" i="6"/>
  <c r="E32" i="6"/>
  <c r="H31" i="6"/>
  <c r="I31" i="6" s="1"/>
  <c r="G31" i="6"/>
  <c r="F31" i="6"/>
  <c r="E31" i="6"/>
  <c r="F30" i="6"/>
  <c r="E30" i="6"/>
  <c r="H30" i="6" s="1"/>
  <c r="I30" i="6" s="1"/>
  <c r="F29" i="6"/>
  <c r="E29" i="6"/>
  <c r="H29" i="6" s="1"/>
  <c r="I29" i="6" s="1"/>
  <c r="H28" i="6"/>
  <c r="I28" i="6" s="1"/>
  <c r="G28" i="6"/>
  <c r="F28" i="6"/>
  <c r="E28" i="6"/>
  <c r="F27" i="6"/>
  <c r="E27" i="6"/>
  <c r="H27" i="6" s="1"/>
  <c r="I27" i="6" s="1"/>
  <c r="H26" i="6"/>
  <c r="I26" i="6" s="1"/>
  <c r="G26" i="6"/>
  <c r="F26" i="6"/>
  <c r="E26" i="6"/>
  <c r="F25" i="6"/>
  <c r="E25" i="6"/>
  <c r="H25" i="6" s="1"/>
  <c r="I25" i="6" s="1"/>
  <c r="I24" i="6"/>
  <c r="H24" i="6"/>
  <c r="G24" i="6"/>
  <c r="F24" i="6"/>
  <c r="E24" i="6"/>
  <c r="H23" i="6"/>
  <c r="I23" i="6" s="1"/>
  <c r="G23" i="6"/>
  <c r="F23" i="6"/>
  <c r="E23" i="6"/>
  <c r="F22" i="6"/>
  <c r="E22" i="6"/>
  <c r="H22" i="6" s="1"/>
  <c r="I22" i="6" s="1"/>
  <c r="F21" i="6"/>
  <c r="E21" i="6"/>
  <c r="H21" i="6" s="1"/>
  <c r="I21" i="6" s="1"/>
  <c r="H20" i="6"/>
  <c r="I20" i="6" s="1"/>
  <c r="G20" i="6"/>
  <c r="F20" i="6"/>
  <c r="E20" i="6"/>
  <c r="F19" i="6"/>
  <c r="E19" i="6"/>
  <c r="H19" i="6" s="1"/>
  <c r="I19" i="6" s="1"/>
  <c r="H18" i="6"/>
  <c r="I18" i="6" s="1"/>
  <c r="G18" i="6"/>
  <c r="F18" i="6"/>
  <c r="E18" i="6"/>
  <c r="F17" i="6"/>
  <c r="E17" i="6"/>
  <c r="H17" i="6" s="1"/>
  <c r="I17" i="6" s="1"/>
  <c r="I16" i="6"/>
  <c r="H16" i="6"/>
  <c r="G16" i="6"/>
  <c r="F16" i="6"/>
  <c r="E16" i="6"/>
  <c r="H15" i="6"/>
  <c r="I15" i="6" s="1"/>
  <c r="G15" i="6"/>
  <c r="F15" i="6"/>
  <c r="E15" i="6"/>
  <c r="F14" i="6"/>
  <c r="E14" i="6"/>
  <c r="H14" i="6" s="1"/>
  <c r="I14" i="6" s="1"/>
  <c r="F13" i="6"/>
  <c r="E13" i="6"/>
  <c r="H13" i="6" s="1"/>
  <c r="I13" i="6" s="1"/>
  <c r="H12" i="6"/>
  <c r="I12" i="6" s="1"/>
  <c r="G12" i="6"/>
  <c r="F12" i="6"/>
  <c r="E12" i="6"/>
  <c r="F11" i="6"/>
  <c r="E11" i="6"/>
  <c r="H11" i="6" s="1"/>
  <c r="I11" i="6" s="1"/>
  <c r="H10" i="6"/>
  <c r="I10" i="6" s="1"/>
  <c r="G10" i="6"/>
  <c r="F10" i="6"/>
  <c r="E10" i="6"/>
  <c r="F9" i="6"/>
  <c r="E9" i="6"/>
  <c r="H9" i="6" s="1"/>
  <c r="I9" i="6" s="1"/>
  <c r="I8" i="6"/>
  <c r="H8" i="6"/>
  <c r="F8" i="6"/>
  <c r="E8" i="6"/>
  <c r="G8" i="6" s="1"/>
  <c r="H7" i="6"/>
  <c r="I7" i="6" s="1"/>
  <c r="G7" i="6"/>
  <c r="F7" i="6"/>
  <c r="E7" i="6"/>
  <c r="F6" i="6"/>
  <c r="E6" i="6"/>
  <c r="H6" i="6" s="1"/>
  <c r="I6" i="6" s="1"/>
  <c r="F5" i="6"/>
  <c r="E5" i="6"/>
  <c r="H5" i="6" s="1"/>
  <c r="I5" i="6" s="1"/>
  <c r="H4" i="6"/>
  <c r="I4" i="6" s="1"/>
  <c r="G4" i="6"/>
  <c r="F4" i="6"/>
  <c r="E4" i="6"/>
  <c r="F3" i="6"/>
  <c r="E3" i="6"/>
  <c r="H3" i="6" s="1"/>
  <c r="I3" i="6" s="1"/>
  <c r="I2" i="6"/>
  <c r="F35" i="5"/>
  <c r="E35" i="5"/>
  <c r="H35" i="5" s="1"/>
  <c r="I35" i="5" s="1"/>
  <c r="H34" i="5"/>
  <c r="I34" i="5" s="1"/>
  <c r="G34" i="5"/>
  <c r="F34" i="5"/>
  <c r="E34" i="5"/>
  <c r="F33" i="5"/>
  <c r="E33" i="5"/>
  <c r="G33" i="5" s="1"/>
  <c r="F32" i="5"/>
  <c r="E32" i="5"/>
  <c r="H32" i="5" s="1"/>
  <c r="I32" i="5" s="1"/>
  <c r="I31" i="5"/>
  <c r="H31" i="5"/>
  <c r="G31" i="5"/>
  <c r="F31" i="5"/>
  <c r="D31" i="5" s="1"/>
  <c r="E31" i="5"/>
  <c r="F30" i="5"/>
  <c r="E30" i="5"/>
  <c r="G30" i="5" s="1"/>
  <c r="D30" i="5"/>
  <c r="F29" i="5"/>
  <c r="E29" i="5"/>
  <c r="H29" i="5" s="1"/>
  <c r="I29" i="5" s="1"/>
  <c r="D29" i="5"/>
  <c r="H28" i="5"/>
  <c r="I28" i="5" s="1"/>
  <c r="F28" i="5"/>
  <c r="E28" i="5"/>
  <c r="G28" i="5" s="1"/>
  <c r="F27" i="5"/>
  <c r="E27" i="5"/>
  <c r="H27" i="5" s="1"/>
  <c r="I27" i="5" s="1"/>
  <c r="F26" i="5"/>
  <c r="E26" i="5"/>
  <c r="H26" i="5" s="1"/>
  <c r="I26" i="5" s="1"/>
  <c r="H25" i="5"/>
  <c r="I25" i="5" s="1"/>
  <c r="G25" i="5"/>
  <c r="F25" i="5"/>
  <c r="E25" i="5"/>
  <c r="F24" i="5"/>
  <c r="E24" i="5"/>
  <c r="G24" i="5" s="1"/>
  <c r="F23" i="5"/>
  <c r="E23" i="5"/>
  <c r="H23" i="5" s="1"/>
  <c r="I23" i="5" s="1"/>
  <c r="I22" i="5"/>
  <c r="H22" i="5"/>
  <c r="G22" i="5"/>
  <c r="F22" i="5"/>
  <c r="E22" i="5"/>
  <c r="F21" i="5"/>
  <c r="E21" i="5"/>
  <c r="H21" i="5" s="1"/>
  <c r="I21" i="5" s="1"/>
  <c r="H20" i="5"/>
  <c r="I20" i="5" s="1"/>
  <c r="F20" i="5"/>
  <c r="E20" i="5"/>
  <c r="G20" i="5" s="1"/>
  <c r="F19" i="5"/>
  <c r="E19" i="5"/>
  <c r="H19" i="5" s="1"/>
  <c r="I19" i="5" s="1"/>
  <c r="F18" i="5"/>
  <c r="E18" i="5"/>
  <c r="H18" i="5" s="1"/>
  <c r="I18" i="5" s="1"/>
  <c r="H17" i="5"/>
  <c r="I17" i="5" s="1"/>
  <c r="G17" i="5"/>
  <c r="F17" i="5"/>
  <c r="E17" i="5"/>
  <c r="F16" i="5"/>
  <c r="E16" i="5"/>
  <c r="G16" i="5" s="1"/>
  <c r="F15" i="5"/>
  <c r="E15" i="5"/>
  <c r="H15" i="5" s="1"/>
  <c r="I15" i="5" s="1"/>
  <c r="I14" i="5"/>
  <c r="H14" i="5"/>
  <c r="G14" i="5"/>
  <c r="F14" i="5"/>
  <c r="E14" i="5"/>
  <c r="F13" i="5"/>
  <c r="E13" i="5"/>
  <c r="H13" i="5" s="1"/>
  <c r="I13" i="5" s="1"/>
  <c r="H12" i="5"/>
  <c r="I12" i="5" s="1"/>
  <c r="F12" i="5"/>
  <c r="E12" i="5"/>
  <c r="G12" i="5" s="1"/>
  <c r="F11" i="5"/>
  <c r="E11" i="5"/>
  <c r="H11" i="5" s="1"/>
  <c r="I11" i="5" s="1"/>
  <c r="F10" i="5"/>
  <c r="E10" i="5"/>
  <c r="H10" i="5" s="1"/>
  <c r="I10" i="5" s="1"/>
  <c r="H9" i="5"/>
  <c r="I9" i="5" s="1"/>
  <c r="G9" i="5"/>
  <c r="F9" i="5"/>
  <c r="E9" i="5"/>
  <c r="F8" i="5"/>
  <c r="E8" i="5"/>
  <c r="G8" i="5" s="1"/>
  <c r="F7" i="5"/>
  <c r="E7" i="5"/>
  <c r="H7" i="5" s="1"/>
  <c r="I7" i="5" s="1"/>
  <c r="I6" i="5"/>
  <c r="H6" i="5"/>
  <c r="G6" i="5"/>
  <c r="F6" i="5"/>
  <c r="E6" i="5"/>
  <c r="F5" i="5"/>
  <c r="E5" i="5"/>
  <c r="H5" i="5" s="1"/>
  <c r="I5" i="5" s="1"/>
  <c r="H4" i="5"/>
  <c r="I4" i="5" s="1"/>
  <c r="F4" i="5"/>
  <c r="E4" i="5"/>
  <c r="G4" i="5" s="1"/>
  <c r="F3" i="5"/>
  <c r="E3" i="5"/>
  <c r="H3" i="5" s="1"/>
  <c r="I3" i="5" s="1"/>
  <c r="F30" i="4"/>
  <c r="E30" i="4"/>
  <c r="H30" i="4" s="1"/>
  <c r="I30" i="4" s="1"/>
  <c r="F29" i="4"/>
  <c r="E29" i="4"/>
  <c r="G29" i="4" s="1"/>
  <c r="F28" i="4"/>
  <c r="D28" i="4" s="1"/>
  <c r="E28" i="4"/>
  <c r="H28" i="4" s="1"/>
  <c r="I28" i="4" s="1"/>
  <c r="F27" i="4"/>
  <c r="E27" i="4"/>
  <c r="H27" i="4" s="1"/>
  <c r="I27" i="4" s="1"/>
  <c r="F26" i="4"/>
  <c r="E26" i="4"/>
  <c r="H26" i="4" s="1"/>
  <c r="I26" i="4" s="1"/>
  <c r="F25" i="4"/>
  <c r="E25" i="4"/>
  <c r="H25" i="4" s="1"/>
  <c r="I25" i="4" s="1"/>
  <c r="F24" i="4"/>
  <c r="E24" i="4"/>
  <c r="H24" i="4" s="1"/>
  <c r="I24" i="4" s="1"/>
  <c r="F23" i="4"/>
  <c r="E23" i="4"/>
  <c r="G23" i="4" s="1"/>
  <c r="F22" i="4"/>
  <c r="E22" i="4"/>
  <c r="G22" i="4" s="1"/>
  <c r="F21" i="4"/>
  <c r="E21" i="4"/>
  <c r="H21" i="4" s="1"/>
  <c r="I21" i="4" s="1"/>
  <c r="F20" i="4"/>
  <c r="E20" i="4"/>
  <c r="H20" i="4" s="1"/>
  <c r="I20" i="4" s="1"/>
  <c r="F19" i="4"/>
  <c r="E19" i="4"/>
  <c r="H19" i="4" s="1"/>
  <c r="I19" i="4" s="1"/>
  <c r="F18" i="4"/>
  <c r="E18" i="4"/>
  <c r="H18" i="4" s="1"/>
  <c r="I18" i="4" s="1"/>
  <c r="F17" i="4"/>
  <c r="E17" i="4"/>
  <c r="H17" i="4" s="1"/>
  <c r="I17" i="4" s="1"/>
  <c r="F16" i="4"/>
  <c r="E16" i="4"/>
  <c r="H16" i="4" s="1"/>
  <c r="I16" i="4" s="1"/>
  <c r="F15" i="4"/>
  <c r="E15" i="4"/>
  <c r="G15" i="4" s="1"/>
  <c r="F14" i="4"/>
  <c r="E14" i="4"/>
  <c r="G14" i="4" s="1"/>
  <c r="F13" i="4"/>
  <c r="E13" i="4"/>
  <c r="H13" i="4" s="1"/>
  <c r="I13" i="4" s="1"/>
  <c r="H12" i="4"/>
  <c r="I12" i="4" s="1"/>
  <c r="F12" i="4"/>
  <c r="E12" i="4"/>
  <c r="G12" i="4" s="1"/>
  <c r="F11" i="4"/>
  <c r="E11" i="4"/>
  <c r="H11" i="4" s="1"/>
  <c r="I11" i="4" s="1"/>
  <c r="F10" i="4"/>
  <c r="E10" i="4"/>
  <c r="H10" i="4" s="1"/>
  <c r="I10" i="4" s="1"/>
  <c r="H9" i="4"/>
  <c r="I9" i="4" s="1"/>
  <c r="F9" i="4"/>
  <c r="E9" i="4"/>
  <c r="G9" i="4" s="1"/>
  <c r="F8" i="4"/>
  <c r="E8" i="4"/>
  <c r="H8" i="4" s="1"/>
  <c r="I8" i="4" s="1"/>
  <c r="F7" i="4"/>
  <c r="E7" i="4"/>
  <c r="G7" i="4" s="1"/>
  <c r="F6" i="4"/>
  <c r="E6" i="4"/>
  <c r="G6" i="4" s="1"/>
  <c r="F5" i="4"/>
  <c r="E5" i="4"/>
  <c r="H5" i="4" s="1"/>
  <c r="I5" i="4" s="1"/>
  <c r="F4" i="4"/>
  <c r="E4" i="4"/>
  <c r="H4" i="4" s="1"/>
  <c r="I4" i="4" s="1"/>
  <c r="F3" i="4"/>
  <c r="E3" i="4"/>
  <c r="H3" i="4" s="1"/>
  <c r="I3" i="4" s="1"/>
  <c r="F38" i="3"/>
  <c r="E38" i="3"/>
  <c r="H38" i="3" s="1"/>
  <c r="I38" i="3" s="1"/>
  <c r="H37" i="3"/>
  <c r="I37" i="3" s="1"/>
  <c r="G37" i="3"/>
  <c r="F37" i="3"/>
  <c r="E37" i="3"/>
  <c r="F36" i="3"/>
  <c r="E36" i="3"/>
  <c r="G36" i="3" s="1"/>
  <c r="F35" i="3"/>
  <c r="E35" i="3"/>
  <c r="H35" i="3" s="1"/>
  <c r="I35" i="3" s="1"/>
  <c r="H34" i="3"/>
  <c r="I34" i="3" s="1"/>
  <c r="G34" i="3"/>
  <c r="F34" i="3"/>
  <c r="E34" i="3"/>
  <c r="F33" i="3"/>
  <c r="E33" i="3"/>
  <c r="G33" i="3" s="1"/>
  <c r="H32" i="3"/>
  <c r="I32" i="3" s="1"/>
  <c r="F32" i="3"/>
  <c r="E32" i="3"/>
  <c r="G32" i="3" s="1"/>
  <c r="F31" i="3"/>
  <c r="E31" i="3"/>
  <c r="H31" i="3" s="1"/>
  <c r="I31" i="3" s="1"/>
  <c r="F30" i="3"/>
  <c r="E30" i="3"/>
  <c r="H30" i="3" s="1"/>
  <c r="I30" i="3" s="1"/>
  <c r="H29" i="3"/>
  <c r="I29" i="3" s="1"/>
  <c r="G29" i="3"/>
  <c r="F29" i="3"/>
  <c r="E29" i="3"/>
  <c r="F28" i="3"/>
  <c r="E28" i="3"/>
  <c r="G28" i="3" s="1"/>
  <c r="F27" i="3"/>
  <c r="E27" i="3"/>
  <c r="H27" i="3" s="1"/>
  <c r="I27" i="3" s="1"/>
  <c r="H26" i="3"/>
  <c r="I26" i="3" s="1"/>
  <c r="G26" i="3"/>
  <c r="F26" i="3"/>
  <c r="E26" i="3"/>
  <c r="F25" i="3"/>
  <c r="E25" i="3"/>
  <c r="G25" i="3" s="1"/>
  <c r="H24" i="3"/>
  <c r="I24" i="3" s="1"/>
  <c r="F24" i="3"/>
  <c r="E24" i="3"/>
  <c r="G24" i="3" s="1"/>
  <c r="F23" i="3"/>
  <c r="E23" i="3"/>
  <c r="H23" i="3" s="1"/>
  <c r="I23" i="3" s="1"/>
  <c r="F22" i="3"/>
  <c r="E22" i="3"/>
  <c r="H22" i="3" s="1"/>
  <c r="I22" i="3" s="1"/>
  <c r="H21" i="3"/>
  <c r="I21" i="3" s="1"/>
  <c r="G21" i="3"/>
  <c r="F21" i="3"/>
  <c r="E21" i="3"/>
  <c r="F20" i="3"/>
  <c r="E20" i="3"/>
  <c r="G20" i="3" s="1"/>
  <c r="F19" i="3"/>
  <c r="E19" i="3"/>
  <c r="H19" i="3" s="1"/>
  <c r="I19" i="3" s="1"/>
  <c r="H18" i="3"/>
  <c r="I18" i="3" s="1"/>
  <c r="G18" i="3"/>
  <c r="F18" i="3"/>
  <c r="E18" i="3"/>
  <c r="F17" i="3"/>
  <c r="E17" i="3"/>
  <c r="G17" i="3" s="1"/>
  <c r="H16" i="3"/>
  <c r="I16" i="3" s="1"/>
  <c r="F16" i="3"/>
  <c r="E16" i="3"/>
  <c r="G16" i="3" s="1"/>
  <c r="F15" i="3"/>
  <c r="E15" i="3"/>
  <c r="H15" i="3" s="1"/>
  <c r="I15" i="3" s="1"/>
  <c r="F14" i="3"/>
  <c r="E14" i="3"/>
  <c r="H14" i="3" s="1"/>
  <c r="I14" i="3" s="1"/>
  <c r="H13" i="3"/>
  <c r="I13" i="3" s="1"/>
  <c r="G13" i="3"/>
  <c r="F13" i="3"/>
  <c r="E13" i="3"/>
  <c r="F12" i="3"/>
  <c r="E12" i="3"/>
  <c r="G12" i="3" s="1"/>
  <c r="F11" i="3"/>
  <c r="E11" i="3"/>
  <c r="H11" i="3" s="1"/>
  <c r="I11" i="3" s="1"/>
  <c r="H10" i="3"/>
  <c r="I10" i="3" s="1"/>
  <c r="G10" i="3"/>
  <c r="F10" i="3"/>
  <c r="E10" i="3"/>
  <c r="F9" i="3"/>
  <c r="E9" i="3"/>
  <c r="G9" i="3" s="1"/>
  <c r="H8" i="3"/>
  <c r="I8" i="3" s="1"/>
  <c r="F8" i="3"/>
  <c r="E8" i="3"/>
  <c r="G8" i="3" s="1"/>
  <c r="F7" i="3"/>
  <c r="E7" i="3"/>
  <c r="H7" i="3" s="1"/>
  <c r="I7" i="3" s="1"/>
  <c r="F6" i="3"/>
  <c r="E6" i="3"/>
  <c r="H6" i="3" s="1"/>
  <c r="I6" i="3" s="1"/>
  <c r="H5" i="3"/>
  <c r="I5" i="3" s="1"/>
  <c r="G5" i="3"/>
  <c r="F5" i="3"/>
  <c r="E5" i="3"/>
  <c r="F4" i="3"/>
  <c r="E4" i="3"/>
  <c r="G4" i="3" s="1"/>
  <c r="F3" i="3"/>
  <c r="E3" i="3"/>
  <c r="H3" i="3" s="1"/>
  <c r="I3" i="3" s="1"/>
  <c r="F37" i="2"/>
  <c r="E37" i="2"/>
  <c r="H37" i="2" s="1"/>
  <c r="I37" i="2" s="1"/>
  <c r="H36" i="2"/>
  <c r="I36" i="2" s="1"/>
  <c r="G36" i="2"/>
  <c r="F36" i="2"/>
  <c r="E36" i="2"/>
  <c r="F35" i="2"/>
  <c r="E35" i="2"/>
  <c r="H35" i="2" s="1"/>
  <c r="I35" i="2" s="1"/>
  <c r="F34" i="2"/>
  <c r="E34" i="2"/>
  <c r="H34" i="2" s="1"/>
  <c r="I34" i="2" s="1"/>
  <c r="I33" i="2"/>
  <c r="H33" i="2"/>
  <c r="G33" i="2"/>
  <c r="F33" i="2"/>
  <c r="E33" i="2"/>
  <c r="G32" i="2"/>
  <c r="F32" i="2"/>
  <c r="E32" i="2"/>
  <c r="H32" i="2" s="1"/>
  <c r="I32" i="2" s="1"/>
  <c r="H31" i="2"/>
  <c r="I31" i="2" s="1"/>
  <c r="G31" i="2"/>
  <c r="F31" i="2"/>
  <c r="E31" i="2"/>
  <c r="F30" i="2"/>
  <c r="E30" i="2"/>
  <c r="H30" i="2" s="1"/>
  <c r="I30" i="2" s="1"/>
  <c r="F29" i="2"/>
  <c r="E29" i="2"/>
  <c r="H29" i="2" s="1"/>
  <c r="I29" i="2" s="1"/>
  <c r="H28" i="2"/>
  <c r="I28" i="2" s="1"/>
  <c r="G28" i="2"/>
  <c r="F28" i="2"/>
  <c r="E28" i="2"/>
  <c r="F27" i="2"/>
  <c r="E27" i="2"/>
  <c r="H27" i="2" s="1"/>
  <c r="I27" i="2" s="1"/>
  <c r="F26" i="2"/>
  <c r="E26" i="2"/>
  <c r="H26" i="2" s="1"/>
  <c r="I26" i="2" s="1"/>
  <c r="I25" i="2"/>
  <c r="H25" i="2"/>
  <c r="G25" i="2"/>
  <c r="F25" i="2"/>
  <c r="E25" i="2"/>
  <c r="G24" i="2"/>
  <c r="F24" i="2"/>
  <c r="E24" i="2"/>
  <c r="H24" i="2" s="1"/>
  <c r="I24" i="2" s="1"/>
  <c r="H23" i="2"/>
  <c r="I23" i="2" s="1"/>
  <c r="G23" i="2"/>
  <c r="F23" i="2"/>
  <c r="E23" i="2"/>
  <c r="F22" i="2"/>
  <c r="E22" i="2"/>
  <c r="H22" i="2" s="1"/>
  <c r="I22" i="2" s="1"/>
  <c r="F21" i="2"/>
  <c r="E21" i="2"/>
  <c r="H21" i="2" s="1"/>
  <c r="I21" i="2" s="1"/>
  <c r="H20" i="2"/>
  <c r="I20" i="2" s="1"/>
  <c r="G20" i="2"/>
  <c r="F20" i="2"/>
  <c r="E20" i="2"/>
  <c r="F19" i="2"/>
  <c r="E19" i="2"/>
  <c r="H19" i="2" s="1"/>
  <c r="I19" i="2" s="1"/>
  <c r="F18" i="2"/>
  <c r="E18" i="2"/>
  <c r="H18" i="2" s="1"/>
  <c r="I18" i="2" s="1"/>
  <c r="I17" i="2"/>
  <c r="H17" i="2"/>
  <c r="G17" i="2"/>
  <c r="F17" i="2"/>
  <c r="E17" i="2"/>
  <c r="G16" i="2"/>
  <c r="F16" i="2"/>
  <c r="E16" i="2"/>
  <c r="H16" i="2" s="1"/>
  <c r="I16" i="2" s="1"/>
  <c r="H15" i="2"/>
  <c r="I15" i="2" s="1"/>
  <c r="G15" i="2"/>
  <c r="F15" i="2"/>
  <c r="E15" i="2"/>
  <c r="F14" i="2"/>
  <c r="E14" i="2"/>
  <c r="H14" i="2" s="1"/>
  <c r="I14" i="2" s="1"/>
  <c r="F13" i="2"/>
  <c r="E13" i="2"/>
  <c r="H13" i="2" s="1"/>
  <c r="I13" i="2" s="1"/>
  <c r="H12" i="2"/>
  <c r="I12" i="2" s="1"/>
  <c r="G12" i="2"/>
  <c r="F12" i="2"/>
  <c r="E12" i="2"/>
  <c r="F11" i="2"/>
  <c r="E11" i="2"/>
  <c r="H11" i="2" s="1"/>
  <c r="I11" i="2" s="1"/>
  <c r="F10" i="2"/>
  <c r="E10" i="2"/>
  <c r="H10" i="2" s="1"/>
  <c r="I10" i="2" s="1"/>
  <c r="I9" i="2"/>
  <c r="H9" i="2"/>
  <c r="G9" i="2"/>
  <c r="F9" i="2"/>
  <c r="E9" i="2"/>
  <c r="G8" i="2"/>
  <c r="F8" i="2"/>
  <c r="E8" i="2"/>
  <c r="H8" i="2" s="1"/>
  <c r="I8" i="2" s="1"/>
  <c r="H7" i="2"/>
  <c r="I7" i="2" s="1"/>
  <c r="F7" i="2"/>
  <c r="E7" i="2"/>
  <c r="G7" i="2" s="1"/>
  <c r="F6" i="2"/>
  <c r="E6" i="2"/>
  <c r="H6" i="2" s="1"/>
  <c r="I6" i="2" s="1"/>
  <c r="F5" i="2"/>
  <c r="E5" i="2"/>
  <c r="H5" i="2" s="1"/>
  <c r="I5" i="2" s="1"/>
  <c r="H4" i="2"/>
  <c r="I4" i="2" s="1"/>
  <c r="G4" i="2"/>
  <c r="F4" i="2"/>
  <c r="E4" i="2"/>
  <c r="F3" i="2"/>
  <c r="E3" i="2"/>
  <c r="H3" i="2" s="1"/>
  <c r="I3" i="2" s="1"/>
  <c r="O28" i="1"/>
  <c r="N28" i="1"/>
  <c r="K28" i="1"/>
  <c r="F28" i="1"/>
  <c r="E28" i="1"/>
  <c r="G28" i="1" s="1"/>
  <c r="O27" i="1"/>
  <c r="N27" i="1"/>
  <c r="K27" i="1"/>
  <c r="F27" i="1"/>
  <c r="D27" i="1" s="1"/>
  <c r="E27" i="1"/>
  <c r="G27" i="1" s="1"/>
  <c r="O26" i="1"/>
  <c r="N26" i="1"/>
  <c r="K26" i="1"/>
  <c r="H26" i="1"/>
  <c r="I26" i="1" s="1"/>
  <c r="G26" i="1"/>
  <c r="F26" i="1"/>
  <c r="E26" i="1"/>
  <c r="O25" i="1"/>
  <c r="N25" i="1"/>
  <c r="K25" i="1"/>
  <c r="H25" i="1"/>
  <c r="I25" i="1" s="1"/>
  <c r="G25" i="1"/>
  <c r="F25" i="1"/>
  <c r="E25" i="1"/>
  <c r="O24" i="1"/>
  <c r="N24" i="1"/>
  <c r="K24" i="1"/>
  <c r="H24" i="1"/>
  <c r="I24" i="1" s="1"/>
  <c r="G24" i="1"/>
  <c r="F24" i="1"/>
  <c r="E24" i="1"/>
  <c r="O23" i="1"/>
  <c r="N23" i="1"/>
  <c r="K23" i="1"/>
  <c r="H23" i="1"/>
  <c r="I23" i="1" s="1"/>
  <c r="G23" i="1"/>
  <c r="F23" i="1"/>
  <c r="E23" i="1"/>
  <c r="O22" i="1"/>
  <c r="N22" i="1"/>
  <c r="K22" i="1"/>
  <c r="H22" i="1"/>
  <c r="I22" i="1" s="1"/>
  <c r="G22" i="1"/>
  <c r="F22" i="1"/>
  <c r="E22" i="1"/>
  <c r="O21" i="1"/>
  <c r="N21" i="1"/>
  <c r="K21" i="1"/>
  <c r="H21" i="1"/>
  <c r="I21" i="1" s="1"/>
  <c r="G21" i="1"/>
  <c r="F21" i="1"/>
  <c r="E21" i="1"/>
  <c r="O20" i="1"/>
  <c r="N20" i="1"/>
  <c r="K20" i="1"/>
  <c r="H20" i="1"/>
  <c r="I20" i="1" s="1"/>
  <c r="G20" i="1"/>
  <c r="F20" i="1"/>
  <c r="E20" i="1"/>
  <c r="O19" i="1"/>
  <c r="N19" i="1"/>
  <c r="K19" i="1"/>
  <c r="H19" i="1"/>
  <c r="I19" i="1" s="1"/>
  <c r="G19" i="1"/>
  <c r="F19" i="1"/>
  <c r="E19" i="1"/>
  <c r="O18" i="1"/>
  <c r="N18" i="1"/>
  <c r="K18" i="1"/>
  <c r="H18" i="1"/>
  <c r="I18" i="1" s="1"/>
  <c r="G18" i="1"/>
  <c r="F18" i="1"/>
  <c r="E18" i="1"/>
  <c r="O17" i="1"/>
  <c r="N17" i="1"/>
  <c r="K17" i="1"/>
  <c r="H17" i="1"/>
  <c r="I17" i="1" s="1"/>
  <c r="G17" i="1"/>
  <c r="F17" i="1"/>
  <c r="E17" i="1"/>
  <c r="O16" i="1"/>
  <c r="N16" i="1"/>
  <c r="K16" i="1"/>
  <c r="H16" i="1"/>
  <c r="I16" i="1" s="1"/>
  <c r="G16" i="1"/>
  <c r="F16" i="1"/>
  <c r="E16" i="1"/>
  <c r="O15" i="1"/>
  <c r="N15" i="1"/>
  <c r="K15" i="1"/>
  <c r="H15" i="1"/>
  <c r="I15" i="1" s="1"/>
  <c r="G15" i="1"/>
  <c r="F15" i="1"/>
  <c r="E15" i="1"/>
  <c r="O14" i="1"/>
  <c r="N14" i="1"/>
  <c r="K14" i="1"/>
  <c r="H14" i="1"/>
  <c r="I14" i="1" s="1"/>
  <c r="G14" i="1"/>
  <c r="F14" i="1"/>
  <c r="E14" i="1"/>
  <c r="O13" i="1"/>
  <c r="N13" i="1"/>
  <c r="K13" i="1"/>
  <c r="H13" i="1"/>
  <c r="I13" i="1" s="1"/>
  <c r="G13" i="1"/>
  <c r="F13" i="1"/>
  <c r="E13" i="1"/>
  <c r="O12" i="1"/>
  <c r="N12" i="1"/>
  <c r="K12" i="1"/>
  <c r="H12" i="1"/>
  <c r="I12" i="1" s="1"/>
  <c r="G12" i="1"/>
  <c r="F12" i="1"/>
  <c r="E12" i="1"/>
  <c r="O11" i="1"/>
  <c r="N11" i="1"/>
  <c r="K11" i="1"/>
  <c r="H11" i="1"/>
  <c r="I11" i="1" s="1"/>
  <c r="G11" i="1"/>
  <c r="F11" i="1"/>
  <c r="E11" i="1"/>
  <c r="O10" i="1"/>
  <c r="N10" i="1"/>
  <c r="K10" i="1"/>
  <c r="H10" i="1"/>
  <c r="I10" i="1" s="1"/>
  <c r="G10" i="1"/>
  <c r="F10" i="1"/>
  <c r="E10" i="1"/>
  <c r="O9" i="1"/>
  <c r="N9" i="1"/>
  <c r="K9" i="1"/>
  <c r="H9" i="1"/>
  <c r="I9" i="1" s="1"/>
  <c r="G9" i="1"/>
  <c r="F9" i="1"/>
  <c r="E9" i="1"/>
  <c r="O8" i="1"/>
  <c r="N8" i="1"/>
  <c r="K8" i="1"/>
  <c r="H8" i="1"/>
  <c r="I8" i="1" s="1"/>
  <c r="G8" i="1"/>
  <c r="F8" i="1"/>
  <c r="E8" i="1"/>
  <c r="O7" i="1"/>
  <c r="N7" i="1"/>
  <c r="K7" i="1"/>
  <c r="H7" i="1"/>
  <c r="I7" i="1" s="1"/>
  <c r="G7" i="1"/>
  <c r="F7" i="1"/>
  <c r="E7" i="1"/>
  <c r="O6" i="1"/>
  <c r="N6" i="1"/>
  <c r="K6" i="1"/>
  <c r="H6" i="1"/>
  <c r="I6" i="1" s="1"/>
  <c r="G6" i="1"/>
  <c r="F6" i="1"/>
  <c r="E6" i="1"/>
  <c r="O5" i="1"/>
  <c r="N5" i="1"/>
  <c r="K5" i="1"/>
  <c r="H5" i="1"/>
  <c r="I5" i="1" s="1"/>
  <c r="G5" i="1"/>
  <c r="F5" i="1"/>
  <c r="E5" i="1"/>
  <c r="O4" i="1"/>
  <c r="N4" i="1"/>
  <c r="K4" i="1"/>
  <c r="H4" i="1"/>
  <c r="I4" i="1" s="1"/>
  <c r="G4" i="1"/>
  <c r="F4" i="1"/>
  <c r="E4" i="1"/>
  <c r="O3" i="1"/>
  <c r="N3" i="1"/>
  <c r="K3" i="1"/>
  <c r="H3" i="1"/>
  <c r="I3" i="1" s="1"/>
  <c r="G3" i="1"/>
  <c r="F3" i="1"/>
  <c r="E3" i="1"/>
  <c r="O2" i="1"/>
  <c r="N2" i="1"/>
  <c r="K2" i="1"/>
  <c r="D24" i="15" l="1"/>
  <c r="G28" i="15"/>
  <c r="H25" i="15"/>
  <c r="I25" i="15" s="1"/>
  <c r="G5" i="15"/>
  <c r="H8" i="15"/>
  <c r="I8" i="15" s="1"/>
  <c r="G17" i="11"/>
  <c r="G9" i="11"/>
  <c r="G12" i="11"/>
  <c r="H15" i="11"/>
  <c r="I15" i="11" s="1"/>
  <c r="G33" i="11"/>
  <c r="G36" i="11"/>
  <c r="H4" i="11"/>
  <c r="I4" i="11" s="1"/>
  <c r="H7" i="11"/>
  <c r="I7" i="11" s="1"/>
  <c r="G25" i="11"/>
  <c r="G28" i="11"/>
  <c r="G31" i="11"/>
  <c r="H29" i="4"/>
  <c r="I29" i="4" s="1"/>
  <c r="H15" i="4"/>
  <c r="I15" i="4" s="1"/>
  <c r="G25" i="4"/>
  <c r="G28" i="4"/>
  <c r="G4" i="4"/>
  <c r="H7" i="4"/>
  <c r="I7" i="4" s="1"/>
  <c r="G17" i="4"/>
  <c r="G20" i="4"/>
  <c r="H23" i="4"/>
  <c r="I23" i="4" s="1"/>
  <c r="G9" i="20"/>
  <c r="G17" i="20"/>
  <c r="G25" i="20"/>
  <c r="G6" i="20"/>
  <c r="G3" i="20"/>
  <c r="G11" i="20"/>
  <c r="H14" i="20"/>
  <c r="I14" i="20" s="1"/>
  <c r="G19" i="20"/>
  <c r="H22" i="20"/>
  <c r="I22" i="20" s="1"/>
  <c r="G27" i="20"/>
  <c r="H30" i="20"/>
  <c r="I30" i="20" s="1"/>
  <c r="H33" i="20"/>
  <c r="I33" i="20" s="1"/>
  <c r="D35" i="20"/>
  <c r="D36" i="20" s="1"/>
  <c r="G8" i="20"/>
  <c r="G16" i="20"/>
  <c r="G24" i="20"/>
  <c r="G32" i="20"/>
  <c r="G36" i="20"/>
  <c r="G5" i="20"/>
  <c r="G13" i="20"/>
  <c r="G21" i="20"/>
  <c r="G29" i="20"/>
  <c r="G3" i="19"/>
  <c r="G11" i="19"/>
  <c r="G19" i="19"/>
  <c r="G27" i="19"/>
  <c r="G8" i="19"/>
  <c r="G16" i="19"/>
  <c r="G24" i="19"/>
  <c r="G30" i="19"/>
  <c r="G36" i="19"/>
  <c r="G5" i="19"/>
  <c r="G13" i="19"/>
  <c r="G21" i="19"/>
  <c r="D32" i="19"/>
  <c r="G33" i="19"/>
  <c r="G10" i="19"/>
  <c r="G18" i="19"/>
  <c r="G26" i="19"/>
  <c r="G29" i="19"/>
  <c r="G15" i="19"/>
  <c r="G23" i="19"/>
  <c r="G35" i="19"/>
  <c r="G7" i="19"/>
  <c r="G6" i="18"/>
  <c r="G14" i="18"/>
  <c r="G22" i="18"/>
  <c r="G25" i="18"/>
  <c r="G3" i="18"/>
  <c r="G11" i="18"/>
  <c r="G19" i="18"/>
  <c r="G8" i="18"/>
  <c r="G16" i="18"/>
  <c r="G24" i="18"/>
  <c r="G28" i="18"/>
  <c r="H31" i="18"/>
  <c r="I31" i="18" s="1"/>
  <c r="G5" i="18"/>
  <c r="G13" i="18"/>
  <c r="G21" i="18"/>
  <c r="D26" i="18"/>
  <c r="D27" i="18" s="1"/>
  <c r="D28" i="18" s="1"/>
  <c r="G33" i="18"/>
  <c r="G10" i="18"/>
  <c r="G18" i="18"/>
  <c r="G27" i="18"/>
  <c r="G30" i="18"/>
  <c r="G3" i="17"/>
  <c r="H6" i="17"/>
  <c r="I6" i="17" s="1"/>
  <c r="G11" i="17"/>
  <c r="H14" i="17"/>
  <c r="I14" i="17" s="1"/>
  <c r="G19" i="17"/>
  <c r="H22" i="17"/>
  <c r="I22" i="17" s="1"/>
  <c r="G27" i="17"/>
  <c r="H30" i="17"/>
  <c r="I30" i="17" s="1"/>
  <c r="G35" i="17"/>
  <c r="G8" i="17"/>
  <c r="G16" i="17"/>
  <c r="G24" i="17"/>
  <c r="G32" i="17"/>
  <c r="G38" i="17"/>
  <c r="G9" i="17"/>
  <c r="H33" i="17"/>
  <c r="I33" i="17" s="1"/>
  <c r="G5" i="17"/>
  <c r="G13" i="17"/>
  <c r="G21" i="17"/>
  <c r="G29" i="17"/>
  <c r="G17" i="17"/>
  <c r="G25" i="17"/>
  <c r="G10" i="16"/>
  <c r="G18" i="16"/>
  <c r="G7" i="16"/>
  <c r="G15" i="16"/>
  <c r="G4" i="16"/>
  <c r="G12" i="16"/>
  <c r="G20" i="16"/>
  <c r="H23" i="16"/>
  <c r="I23" i="16" s="1"/>
  <c r="G9" i="16"/>
  <c r="G17" i="16"/>
  <c r="G25" i="16"/>
  <c r="G6" i="16"/>
  <c r="G14" i="16"/>
  <c r="G22" i="16"/>
  <c r="G7" i="15"/>
  <c r="G15" i="15"/>
  <c r="G4" i="15"/>
  <c r="G12" i="15"/>
  <c r="G20" i="15"/>
  <c r="G23" i="15"/>
  <c r="G27" i="15"/>
  <c r="G9" i="15"/>
  <c r="G6" i="15"/>
  <c r="G14" i="15"/>
  <c r="H17" i="15"/>
  <c r="I17" i="15" s="1"/>
  <c r="G22" i="15"/>
  <c r="G26" i="15"/>
  <c r="G30" i="15"/>
  <c r="D25" i="15"/>
  <c r="D26" i="15" s="1"/>
  <c r="D27" i="15" s="1"/>
  <c r="D28" i="15" s="1"/>
  <c r="D29" i="15" s="1"/>
  <c r="D30" i="15" s="1"/>
  <c r="G3" i="15"/>
  <c r="G11" i="15"/>
  <c r="G19" i="15"/>
  <c r="G4" i="14"/>
  <c r="G12" i="14"/>
  <c r="G20" i="14"/>
  <c r="G28" i="14"/>
  <c r="G9" i="14"/>
  <c r="G17" i="14"/>
  <c r="G25" i="14"/>
  <c r="G33" i="14"/>
  <c r="G6" i="14"/>
  <c r="G14" i="14"/>
  <c r="G22" i="14"/>
  <c r="G30" i="14"/>
  <c r="G3" i="14"/>
  <c r="G11" i="14"/>
  <c r="G19" i="14"/>
  <c r="G27" i="14"/>
  <c r="G36" i="14"/>
  <c r="D35" i="14"/>
  <c r="D36" i="14" s="1"/>
  <c r="G8" i="14"/>
  <c r="G16" i="14"/>
  <c r="G24" i="14"/>
  <c r="G32" i="14"/>
  <c r="D25" i="13"/>
  <c r="D26" i="13" s="1"/>
  <c r="D27" i="13" s="1"/>
  <c r="H15" i="13"/>
  <c r="I15" i="13" s="1"/>
  <c r="G7" i="13"/>
  <c r="H4" i="13"/>
  <c r="I4" i="13" s="1"/>
  <c r="G9" i="13"/>
  <c r="H12" i="13"/>
  <c r="I12" i="13" s="1"/>
  <c r="G17" i="13"/>
  <c r="H20" i="13"/>
  <c r="I20" i="13" s="1"/>
  <c r="G23" i="13"/>
  <c r="G27" i="13"/>
  <c r="G6" i="13"/>
  <c r="G14" i="13"/>
  <c r="G24" i="13"/>
  <c r="G3" i="12"/>
  <c r="G11" i="12"/>
  <c r="G19" i="12"/>
  <c r="G27" i="12"/>
  <c r="G8" i="12"/>
  <c r="G16" i="12"/>
  <c r="G24" i="12"/>
  <c r="G33" i="12"/>
  <c r="D35" i="12"/>
  <c r="D36" i="12" s="1"/>
  <c r="H5" i="12"/>
  <c r="I5" i="12" s="1"/>
  <c r="G10" i="12"/>
  <c r="H13" i="12"/>
  <c r="I13" i="12" s="1"/>
  <c r="G18" i="12"/>
  <c r="H21" i="12"/>
  <c r="I21" i="12" s="1"/>
  <c r="G26" i="12"/>
  <c r="H29" i="12"/>
  <c r="I29" i="12" s="1"/>
  <c r="G32" i="12"/>
  <c r="G36" i="12"/>
  <c r="G7" i="12"/>
  <c r="G15" i="12"/>
  <c r="G23" i="12"/>
  <c r="G30" i="11"/>
  <c r="G35" i="11"/>
  <c r="H3" i="11"/>
  <c r="I3" i="11" s="1"/>
  <c r="G8" i="11"/>
  <c r="H11" i="11"/>
  <c r="I11" i="11" s="1"/>
  <c r="G16" i="11"/>
  <c r="H19" i="11"/>
  <c r="I19" i="11" s="1"/>
  <c r="G24" i="11"/>
  <c r="H27" i="11"/>
  <c r="I27" i="11" s="1"/>
  <c r="G32" i="11"/>
  <c r="G5" i="11"/>
  <c r="G13" i="11"/>
  <c r="G21" i="11"/>
  <c r="G29" i="11"/>
  <c r="G37" i="11"/>
  <c r="G6" i="11"/>
  <c r="G14" i="11"/>
  <c r="G22" i="11"/>
  <c r="G10" i="11"/>
  <c r="G18" i="11"/>
  <c r="G26" i="11"/>
  <c r="G34" i="11"/>
  <c r="G10" i="10"/>
  <c r="G18" i="10"/>
  <c r="G7" i="10"/>
  <c r="G15" i="10"/>
  <c r="G4" i="10"/>
  <c r="G12" i="10"/>
  <c r="G20" i="10"/>
  <c r="G9" i="10"/>
  <c r="G17" i="10"/>
  <c r="G23" i="10"/>
  <c r="G6" i="10"/>
  <c r="G14" i="10"/>
  <c r="G9" i="9"/>
  <c r="G17" i="9"/>
  <c r="G25" i="9"/>
  <c r="G33" i="9"/>
  <c r="D38" i="9"/>
  <c r="G6" i="9"/>
  <c r="G14" i="9"/>
  <c r="G22" i="9"/>
  <c r="G30" i="9"/>
  <c r="G3" i="9"/>
  <c r="G11" i="9"/>
  <c r="G19" i="9"/>
  <c r="G27" i="9"/>
  <c r="G35" i="9"/>
  <c r="H3" i="8"/>
  <c r="I3" i="8" s="1"/>
  <c r="G8" i="8"/>
  <c r="H11" i="8"/>
  <c r="I11" i="8" s="1"/>
  <c r="G16" i="8"/>
  <c r="H19" i="8"/>
  <c r="I19" i="8" s="1"/>
  <c r="G24" i="8"/>
  <c r="H27" i="8"/>
  <c r="I27" i="8" s="1"/>
  <c r="D29" i="8"/>
  <c r="D30" i="8" s="1"/>
  <c r="G6" i="8"/>
  <c r="G22" i="8"/>
  <c r="H14" i="8"/>
  <c r="I14" i="8" s="1"/>
  <c r="G5" i="8"/>
  <c r="G13" i="8"/>
  <c r="G21" i="8"/>
  <c r="G30" i="8"/>
  <c r="G10" i="8"/>
  <c r="G18" i="8"/>
  <c r="G26" i="8"/>
  <c r="G9" i="7"/>
  <c r="G17" i="7"/>
  <c r="G25" i="7"/>
  <c r="G6" i="7"/>
  <c r="G14" i="7"/>
  <c r="G22" i="7"/>
  <c r="G3" i="7"/>
  <c r="G11" i="7"/>
  <c r="G19" i="7"/>
  <c r="G8" i="7"/>
  <c r="G16" i="7"/>
  <c r="G24" i="7"/>
  <c r="G27" i="7"/>
  <c r="G5" i="7"/>
  <c r="G13" i="7"/>
  <c r="G21" i="7"/>
  <c r="G9" i="6"/>
  <c r="G17" i="6"/>
  <c r="G25" i="6"/>
  <c r="G6" i="6"/>
  <c r="G14" i="6"/>
  <c r="G22" i="6"/>
  <c r="G30" i="6"/>
  <c r="G33" i="6"/>
  <c r="G37" i="6"/>
  <c r="G3" i="6"/>
  <c r="G11" i="6"/>
  <c r="G19" i="6"/>
  <c r="G27" i="6"/>
  <c r="D35" i="6"/>
  <c r="D36" i="6" s="1"/>
  <c r="D37" i="6" s="1"/>
  <c r="G5" i="6"/>
  <c r="G13" i="6"/>
  <c r="G21" i="6"/>
  <c r="G29" i="6"/>
  <c r="G3" i="5"/>
  <c r="G11" i="5"/>
  <c r="G19" i="5"/>
  <c r="G27" i="5"/>
  <c r="G5" i="5"/>
  <c r="H8" i="5"/>
  <c r="I8" i="5" s="1"/>
  <c r="G13" i="5"/>
  <c r="H16" i="5"/>
  <c r="I16" i="5" s="1"/>
  <c r="G21" i="5"/>
  <c r="H24" i="5"/>
  <c r="I24" i="5" s="1"/>
  <c r="H30" i="5"/>
  <c r="I30" i="5" s="1"/>
  <c r="H33" i="5"/>
  <c r="I33" i="5" s="1"/>
  <c r="G10" i="5"/>
  <c r="G18" i="5"/>
  <c r="G26" i="5"/>
  <c r="G29" i="5"/>
  <c r="G35" i="5"/>
  <c r="G7" i="5"/>
  <c r="G15" i="5"/>
  <c r="G23" i="5"/>
  <c r="G32" i="5"/>
  <c r="G3" i="4"/>
  <c r="H6" i="4"/>
  <c r="I6" i="4" s="1"/>
  <c r="G11" i="4"/>
  <c r="H14" i="4"/>
  <c r="I14" i="4" s="1"/>
  <c r="G19" i="4"/>
  <c r="H22" i="4"/>
  <c r="I22" i="4" s="1"/>
  <c r="G27" i="4"/>
  <c r="G8" i="4"/>
  <c r="G16" i="4"/>
  <c r="G24" i="4"/>
  <c r="D29" i="4"/>
  <c r="D30" i="4" s="1"/>
  <c r="G5" i="4"/>
  <c r="G13" i="4"/>
  <c r="G21" i="4"/>
  <c r="G30" i="4"/>
  <c r="G10" i="4"/>
  <c r="G18" i="4"/>
  <c r="G26" i="4"/>
  <c r="H36" i="3"/>
  <c r="I36" i="3" s="1"/>
  <c r="G6" i="3"/>
  <c r="H9" i="3"/>
  <c r="I9" i="3" s="1"/>
  <c r="G14" i="3"/>
  <c r="H17" i="3"/>
  <c r="I17" i="3" s="1"/>
  <c r="G22" i="3"/>
  <c r="H25" i="3"/>
  <c r="I25" i="3" s="1"/>
  <c r="G30" i="3"/>
  <c r="H33" i="3"/>
  <c r="I33" i="3" s="1"/>
  <c r="G38" i="3"/>
  <c r="H4" i="3"/>
  <c r="I4" i="3" s="1"/>
  <c r="H12" i="3"/>
  <c r="I12" i="3" s="1"/>
  <c r="H20" i="3"/>
  <c r="I20" i="3" s="1"/>
  <c r="H28" i="3"/>
  <c r="I28" i="3" s="1"/>
  <c r="G3" i="3"/>
  <c r="G11" i="3"/>
  <c r="G19" i="3"/>
  <c r="G27" i="3"/>
  <c r="G35" i="3"/>
  <c r="G7" i="3"/>
  <c r="G15" i="3"/>
  <c r="G23" i="3"/>
  <c r="G31" i="3"/>
  <c r="G6" i="2"/>
  <c r="G14" i="2"/>
  <c r="G22" i="2"/>
  <c r="G30" i="2"/>
  <c r="G3" i="2"/>
  <c r="G11" i="2"/>
  <c r="G19" i="2"/>
  <c r="G27" i="2"/>
  <c r="G35" i="2"/>
  <c r="G5" i="2"/>
  <c r="G13" i="2"/>
  <c r="G21" i="2"/>
  <c r="G29" i="2"/>
  <c r="G37" i="2"/>
  <c r="G10" i="2"/>
  <c r="G18" i="2"/>
  <c r="G26" i="2"/>
  <c r="G34" i="2"/>
  <c r="H27" i="1"/>
  <c r="I27" i="1" s="1"/>
  <c r="H28" i="1"/>
  <c r="I28" i="1" s="1"/>
  <c r="E2" i="14"/>
  <c r="E2" i="14" a="1"/>
  <c r="F2" i="10"/>
  <c r="F2" i="10" a="1"/>
  <c r="F2" i="7"/>
  <c r="F2" i="7" a="1"/>
  <c r="I2" i="4"/>
  <c r="H2" i="4"/>
  <c r="E2" i="4"/>
  <c r="E2" i="4" a="1"/>
  <c r="E2" i="18"/>
  <c r="E2" i="18" a="1"/>
  <c r="E2" i="16"/>
  <c r="E2" i="16" a="1"/>
  <c r="I2" i="2"/>
  <c r="H2" i="2"/>
  <c r="E2" i="2"/>
  <c r="E2" i="2" a="1"/>
  <c r="I2" i="1"/>
  <c r="H2" i="1"/>
  <c r="E2" i="1"/>
  <c r="E2" i="1" a="1"/>
  <c r="F2" i="5"/>
  <c r="F2" i="5" a="1"/>
  <c r="E2" i="12"/>
  <c r="E2" i="12" a="1"/>
  <c r="I2" i="3"/>
  <c r="H2" i="3"/>
  <c r="E2" i="3"/>
  <c r="E2" i="3" a="1"/>
  <c r="F2" i="12"/>
  <c r="F2" i="12" a="1"/>
  <c r="F2" i="16"/>
  <c r="F2" i="16" a="1"/>
  <c r="F2" i="20"/>
  <c r="F2" i="20" a="1"/>
  <c r="F2" i="8"/>
  <c r="F2" i="8" a="1"/>
  <c r="F2" i="2"/>
  <c r="F2" i="2" a="1"/>
  <c r="F2" i="6"/>
  <c r="F2" i="6" a="1"/>
  <c r="F2" i="17"/>
  <c r="F2" i="17" a="1"/>
  <c r="F2" i="11"/>
  <c r="F2" i="11" a="1"/>
  <c r="E2" i="10"/>
  <c r="E2" i="10" a="1"/>
  <c r="F2" i="14"/>
  <c r="F2" i="14" a="1"/>
  <c r="E2" i="8"/>
  <c r="E2" i="8" a="1"/>
  <c r="F2" i="13"/>
  <c r="F2" i="13" a="1"/>
  <c r="F2" i="9"/>
  <c r="F2" i="9" a="1"/>
  <c r="E2" i="15"/>
  <c r="E2" i="15" a="1"/>
  <c r="E2" i="11"/>
  <c r="E2" i="11" a="1"/>
  <c r="E2" i="9"/>
  <c r="E2" i="9" a="1"/>
  <c r="E2" i="13"/>
  <c r="E2" i="13" a="1"/>
  <c r="F2" i="4"/>
  <c r="F2" i="4" a="1"/>
  <c r="E2" i="6"/>
  <c r="E2" i="6" a="1"/>
  <c r="E2" i="7"/>
  <c r="E2" i="7" a="1"/>
  <c r="E2" i="19"/>
  <c r="E2" i="19" a="1"/>
  <c r="F2" i="19"/>
  <c r="F2" i="19" a="1"/>
  <c r="E2" i="17"/>
  <c r="E2" i="17" a="1"/>
  <c r="F2" i="3"/>
  <c r="F2" i="3" a="1"/>
  <c r="F2" i="1"/>
  <c r="F2" i="1" a="1"/>
  <c r="E2" i="5"/>
  <c r="E2" i="20"/>
  <c r="E2" i="20" a="1"/>
  <c r="F2" i="18"/>
  <c r="F2" i="18" a="1"/>
  <c r="E2" i="5" a="1"/>
  <c r="H2" i="5"/>
  <c r="I2" i="5"/>
  <c r="F2" i="15"/>
  <c r="F2" i="1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<sst xmlns="http://schemas.openxmlformats.org/spreadsheetml/2006/main" count="336" uniqueCount="16">
  <si>
    <t>Position (mm)</t>
  </si>
  <si>
    <t>Speed (mm/hr)</t>
  </si>
  <si>
    <t>Weight (gm)</t>
  </si>
  <si>
    <t>Power(W)</t>
  </si>
  <si>
    <t>Mass difference (gm)</t>
  </si>
  <si>
    <t>Time (sec)</t>
  </si>
  <si>
    <t>Growth rate (gm/mm)</t>
  </si>
  <si>
    <t>Growth rate (gm/sec)</t>
  </si>
  <si>
    <t>Total mass (gm)</t>
  </si>
  <si>
    <t>Average impurity of added material</t>
  </si>
  <si>
    <t>Mass of previous crystal (gm)</t>
  </si>
  <si>
    <t>Mass added (gm)</t>
  </si>
  <si>
    <t>Impurity at tail of previous crystal</t>
  </si>
  <si>
    <t>Impurity of previous crystal at S1</t>
  </si>
  <si>
    <t>Detector grade portion (%)</t>
  </si>
  <si>
    <t>Normalized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</si>
</sst>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2A5A-EE11-5749-953D-03774F262242}">
  <dimension ref="A1:P28"/>
  <sheetViews>
    <sheetView topLeftCell="M3" workbookViewId="0">
      <selection activeCell="P32" sqref="P32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13.33203125" customWidth="1"/>
    <col min="12" max="12" width="30.5" customWidth="1"/>
    <col min="13" max="13" width="24.6640625" customWidth="1"/>
    <col min="14" max="14" width="14.5" customWidth="1"/>
    <col min="15" max="15" width="26.83203125" customWidth="1"/>
    <col min="16" max="16" width="27.83203125" customWidth="1"/>
    <col min="17" max="17" width="21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C2">
        <v>-0.42</v>
      </c>
      <c r="D2">
        <v>8720</v>
      </c>
      <c r="E2" cm="1">
        <f t="array" aca="1" ref="E2" ca="1">E2:G297</f>
        <v>0</v>
      </c>
      <c r="F2" cm="1">
        <f t="array" aca="1" ref="F2" ca="1">F2:H317</f>
        <v>0</v>
      </c>
      <c r="G2">
        <v>0</v>
      </c>
      <c r="H2">
        <f ca="1">E2/(3600/B2*A2)</f>
        <v>0</v>
      </c>
      <c r="I2">
        <f ca="1">H2*100</f>
        <v>0</v>
      </c>
      <c r="J2">
        <v>4172</v>
      </c>
      <c r="K2">
        <f>4*10^11</f>
        <v>400000000000</v>
      </c>
      <c r="L2">
        <v>3701</v>
      </c>
      <c r="M2">
        <v>470</v>
      </c>
      <c r="N2">
        <f>-50000000000000</f>
        <v>-50000000000000</v>
      </c>
      <c r="O2">
        <f>493000000000</f>
        <v>493000000000</v>
      </c>
      <c r="P2">
        <v>38</v>
      </c>
    </row>
    <row r="3" spans="1:16" x14ac:dyDescent="0.2">
      <c r="A3">
        <v>10</v>
      </c>
      <c r="B3">
        <v>40</v>
      </c>
      <c r="C3">
        <v>0.4</v>
      </c>
      <c r="D3">
        <v>8700</v>
      </c>
      <c r="E3">
        <f>C3-C2</f>
        <v>0.82000000000000006</v>
      </c>
      <c r="F3">
        <f>3600/B3*A3</f>
        <v>900</v>
      </c>
      <c r="G3">
        <f>E3/A3</f>
        <v>8.2000000000000003E-2</v>
      </c>
      <c r="H3">
        <f t="shared" ref="H3:H28" si="0">E3/(3600/B3*A3)</f>
        <v>9.1111111111111113E-4</v>
      </c>
      <c r="I3">
        <f t="shared" ref="I3:I28" si="1">H3*100</f>
        <v>9.1111111111111115E-2</v>
      </c>
      <c r="J3">
        <v>4140</v>
      </c>
      <c r="K3">
        <f t="shared" ref="K3:K28" si="2">4*10^11</f>
        <v>400000000000</v>
      </c>
      <c r="L3">
        <v>3701</v>
      </c>
      <c r="M3">
        <v>470</v>
      </c>
      <c r="N3">
        <f t="shared" ref="N3:N28" si="3">-50000000000000</f>
        <v>-50000000000000</v>
      </c>
      <c r="O3">
        <f t="shared" ref="O3:O28" si="4">493000000000</f>
        <v>493000000000</v>
      </c>
      <c r="P3">
        <v>38</v>
      </c>
    </row>
    <row r="4" spans="1:16" x14ac:dyDescent="0.2">
      <c r="A4">
        <v>15</v>
      </c>
      <c r="B4">
        <v>40</v>
      </c>
      <c r="C4">
        <v>1.1299999999999999</v>
      </c>
      <c r="D4">
        <v>8700</v>
      </c>
      <c r="E4">
        <f>C4-C3</f>
        <v>0.72999999999999987</v>
      </c>
      <c r="F4">
        <f>3600/B4*A4</f>
        <v>1350</v>
      </c>
      <c r="G4">
        <f>E4/(A4-A3)</f>
        <v>0.14599999999999996</v>
      </c>
      <c r="H4">
        <f t="shared" si="0"/>
        <v>5.4074074074074061E-4</v>
      </c>
      <c r="I4">
        <f t="shared" si="1"/>
        <v>5.4074074074074059E-2</v>
      </c>
      <c r="J4">
        <v>4140</v>
      </c>
      <c r="K4">
        <f t="shared" si="2"/>
        <v>400000000000</v>
      </c>
      <c r="L4">
        <v>3701</v>
      </c>
      <c r="M4">
        <v>470</v>
      </c>
      <c r="N4">
        <f t="shared" si="3"/>
        <v>-50000000000000</v>
      </c>
      <c r="O4">
        <f t="shared" si="4"/>
        <v>493000000000</v>
      </c>
      <c r="P4">
        <v>38</v>
      </c>
    </row>
    <row r="5" spans="1:16" x14ac:dyDescent="0.2">
      <c r="A5">
        <v>20</v>
      </c>
      <c r="B5">
        <v>25</v>
      </c>
      <c r="C5">
        <v>1.57</v>
      </c>
      <c r="D5">
        <v>8680</v>
      </c>
      <c r="E5">
        <f>C5-C4</f>
        <v>0.44000000000000017</v>
      </c>
      <c r="F5">
        <f t="shared" ref="F5:F28" si="5">3600/B5*A5</f>
        <v>2880</v>
      </c>
      <c r="G5">
        <f>E5/(A5-A4)</f>
        <v>8.8000000000000037E-2</v>
      </c>
      <c r="H5">
        <f t="shared" si="0"/>
        <v>1.5277777777777783E-4</v>
      </c>
      <c r="I5">
        <f t="shared" si="1"/>
        <v>1.5277777777777782E-2</v>
      </c>
      <c r="J5">
        <v>4140</v>
      </c>
      <c r="K5">
        <f t="shared" si="2"/>
        <v>400000000000</v>
      </c>
      <c r="L5">
        <v>3701</v>
      </c>
      <c r="M5">
        <v>470</v>
      </c>
      <c r="N5">
        <f t="shared" si="3"/>
        <v>-50000000000000</v>
      </c>
      <c r="O5">
        <f t="shared" si="4"/>
        <v>493000000000</v>
      </c>
      <c r="P5">
        <v>38</v>
      </c>
    </row>
    <row r="6" spans="1:16" x14ac:dyDescent="0.2">
      <c r="A6">
        <v>25</v>
      </c>
      <c r="B6">
        <v>25</v>
      </c>
      <c r="C6">
        <v>2</v>
      </c>
      <c r="D6">
        <v>8660</v>
      </c>
      <c r="E6">
        <f t="shared" ref="E6:E28" si="6">C6-C5</f>
        <v>0.42999999999999994</v>
      </c>
      <c r="F6">
        <f t="shared" si="5"/>
        <v>3600</v>
      </c>
      <c r="G6">
        <f t="shared" ref="G6:G28" si="7">E6/(A6-A5)</f>
        <v>8.5999999999999993E-2</v>
      </c>
      <c r="H6">
        <f t="shared" si="0"/>
        <v>1.1944444444444443E-4</v>
      </c>
      <c r="I6">
        <f t="shared" si="1"/>
        <v>1.1944444444444443E-2</v>
      </c>
      <c r="J6">
        <v>4140</v>
      </c>
      <c r="K6">
        <f t="shared" si="2"/>
        <v>400000000000</v>
      </c>
      <c r="L6">
        <v>3701</v>
      </c>
      <c r="M6">
        <v>470</v>
      </c>
      <c r="N6">
        <f t="shared" si="3"/>
        <v>-50000000000000</v>
      </c>
      <c r="O6">
        <f t="shared" si="4"/>
        <v>493000000000</v>
      </c>
      <c r="P6">
        <v>38</v>
      </c>
    </row>
    <row r="7" spans="1:16" x14ac:dyDescent="0.2">
      <c r="A7">
        <v>30</v>
      </c>
      <c r="B7">
        <v>25</v>
      </c>
      <c r="C7">
        <v>2.79</v>
      </c>
      <c r="D7">
        <v>8640</v>
      </c>
      <c r="E7">
        <f t="shared" si="6"/>
        <v>0.79</v>
      </c>
      <c r="F7">
        <f t="shared" si="5"/>
        <v>4320</v>
      </c>
      <c r="G7">
        <f t="shared" si="7"/>
        <v>0.158</v>
      </c>
      <c r="H7">
        <f t="shared" si="0"/>
        <v>1.8287037037037038E-4</v>
      </c>
      <c r="I7">
        <f t="shared" si="1"/>
        <v>1.8287037037037039E-2</v>
      </c>
      <c r="J7">
        <v>4140</v>
      </c>
      <c r="K7">
        <f t="shared" si="2"/>
        <v>400000000000</v>
      </c>
      <c r="L7">
        <v>3701</v>
      </c>
      <c r="M7">
        <v>470</v>
      </c>
      <c r="N7">
        <f t="shared" si="3"/>
        <v>-50000000000000</v>
      </c>
      <c r="O7">
        <f t="shared" si="4"/>
        <v>493000000000</v>
      </c>
      <c r="P7">
        <v>38</v>
      </c>
    </row>
    <row r="8" spans="1:16" x14ac:dyDescent="0.2">
      <c r="A8">
        <v>35</v>
      </c>
      <c r="B8">
        <v>25</v>
      </c>
      <c r="C8">
        <v>4.2</v>
      </c>
      <c r="D8">
        <v>8620</v>
      </c>
      <c r="E8">
        <f t="shared" si="6"/>
        <v>1.4100000000000001</v>
      </c>
      <c r="F8">
        <f t="shared" si="5"/>
        <v>5040</v>
      </c>
      <c r="G8">
        <f t="shared" si="7"/>
        <v>0.28200000000000003</v>
      </c>
      <c r="H8">
        <f t="shared" si="0"/>
        <v>2.7976190476190478E-4</v>
      </c>
      <c r="I8">
        <f t="shared" si="1"/>
        <v>2.7976190476190477E-2</v>
      </c>
      <c r="J8">
        <v>4140</v>
      </c>
      <c r="K8">
        <f t="shared" si="2"/>
        <v>400000000000</v>
      </c>
      <c r="L8">
        <v>3701</v>
      </c>
      <c r="M8">
        <v>470</v>
      </c>
      <c r="N8">
        <f t="shared" si="3"/>
        <v>-50000000000000</v>
      </c>
      <c r="O8">
        <f t="shared" si="4"/>
        <v>493000000000</v>
      </c>
      <c r="P8">
        <v>38</v>
      </c>
    </row>
    <row r="9" spans="1:16" x14ac:dyDescent="0.2">
      <c r="A9">
        <v>40</v>
      </c>
      <c r="B9">
        <v>25</v>
      </c>
      <c r="C9">
        <v>6.04</v>
      </c>
      <c r="D9">
        <v>8600</v>
      </c>
      <c r="E9">
        <f t="shared" si="6"/>
        <v>1.8399999999999999</v>
      </c>
      <c r="F9">
        <f t="shared" si="5"/>
        <v>5760</v>
      </c>
      <c r="G9">
        <f t="shared" si="7"/>
        <v>0.36799999999999999</v>
      </c>
      <c r="H9">
        <f t="shared" si="0"/>
        <v>3.1944444444444441E-4</v>
      </c>
      <c r="I9">
        <f t="shared" si="1"/>
        <v>3.1944444444444442E-2</v>
      </c>
      <c r="J9">
        <v>4140</v>
      </c>
      <c r="K9">
        <f t="shared" si="2"/>
        <v>400000000000</v>
      </c>
      <c r="L9">
        <v>3701</v>
      </c>
      <c r="M9">
        <v>470</v>
      </c>
      <c r="N9">
        <f t="shared" si="3"/>
        <v>-50000000000000</v>
      </c>
      <c r="O9">
        <f t="shared" si="4"/>
        <v>493000000000</v>
      </c>
      <c r="P9">
        <v>38</v>
      </c>
    </row>
    <row r="10" spans="1:16" x14ac:dyDescent="0.2">
      <c r="A10">
        <v>45</v>
      </c>
      <c r="B10">
        <v>25</v>
      </c>
      <c r="C10">
        <v>9.1</v>
      </c>
      <c r="D10">
        <v>8580</v>
      </c>
      <c r="E10">
        <f t="shared" si="6"/>
        <v>3.0599999999999996</v>
      </c>
      <c r="F10">
        <f t="shared" si="5"/>
        <v>6480</v>
      </c>
      <c r="G10">
        <f t="shared" si="7"/>
        <v>0.61199999999999988</v>
      </c>
      <c r="H10">
        <f t="shared" si="0"/>
        <v>4.7222222222222218E-4</v>
      </c>
      <c r="I10">
        <f t="shared" si="1"/>
        <v>4.7222222222222221E-2</v>
      </c>
      <c r="J10">
        <v>4140</v>
      </c>
      <c r="K10">
        <f t="shared" si="2"/>
        <v>400000000000</v>
      </c>
      <c r="L10">
        <v>3701</v>
      </c>
      <c r="M10">
        <v>470</v>
      </c>
      <c r="N10">
        <f t="shared" si="3"/>
        <v>-50000000000000</v>
      </c>
      <c r="O10">
        <f t="shared" si="4"/>
        <v>493000000000</v>
      </c>
      <c r="P10">
        <v>38</v>
      </c>
    </row>
    <row r="11" spans="1:16" x14ac:dyDescent="0.2">
      <c r="A11">
        <v>50</v>
      </c>
      <c r="B11">
        <v>25</v>
      </c>
      <c r="C11">
        <v>14.61</v>
      </c>
      <c r="D11">
        <v>8560</v>
      </c>
      <c r="E11">
        <f t="shared" si="6"/>
        <v>5.51</v>
      </c>
      <c r="F11">
        <f t="shared" si="5"/>
        <v>7200</v>
      </c>
      <c r="G11">
        <f t="shared" si="7"/>
        <v>1.1019999999999999</v>
      </c>
      <c r="H11">
        <f t="shared" si="0"/>
        <v>7.652777777777777E-4</v>
      </c>
      <c r="I11">
        <f t="shared" si="1"/>
        <v>7.6527777777777764E-2</v>
      </c>
      <c r="J11">
        <v>4140</v>
      </c>
      <c r="K11">
        <f t="shared" si="2"/>
        <v>400000000000</v>
      </c>
      <c r="L11">
        <v>3701</v>
      </c>
      <c r="M11">
        <v>470</v>
      </c>
      <c r="N11">
        <f t="shared" si="3"/>
        <v>-50000000000000</v>
      </c>
      <c r="O11">
        <f t="shared" si="4"/>
        <v>493000000000</v>
      </c>
      <c r="P11">
        <v>38</v>
      </c>
    </row>
    <row r="12" spans="1:16" x14ac:dyDescent="0.2">
      <c r="A12">
        <v>62</v>
      </c>
      <c r="B12">
        <v>25</v>
      </c>
      <c r="C12">
        <v>44</v>
      </c>
      <c r="D12">
        <v>8560</v>
      </c>
      <c r="E12">
        <f t="shared" si="6"/>
        <v>29.39</v>
      </c>
      <c r="F12">
        <f t="shared" si="5"/>
        <v>8928</v>
      </c>
      <c r="G12">
        <f t="shared" si="7"/>
        <v>2.4491666666666667</v>
      </c>
      <c r="H12">
        <f t="shared" si="0"/>
        <v>3.2918906810035843E-3</v>
      </c>
      <c r="I12">
        <f t="shared" si="1"/>
        <v>0.32918906810035842</v>
      </c>
      <c r="J12">
        <v>4140</v>
      </c>
      <c r="K12">
        <f t="shared" si="2"/>
        <v>400000000000</v>
      </c>
      <c r="L12">
        <v>3701</v>
      </c>
      <c r="M12">
        <v>470</v>
      </c>
      <c r="N12">
        <f t="shared" si="3"/>
        <v>-50000000000000</v>
      </c>
      <c r="O12">
        <f t="shared" si="4"/>
        <v>493000000000</v>
      </c>
      <c r="P12">
        <v>38</v>
      </c>
    </row>
    <row r="13" spans="1:16" x14ac:dyDescent="0.2">
      <c r="A13">
        <v>70</v>
      </c>
      <c r="B13">
        <v>25</v>
      </c>
      <c r="C13">
        <v>86</v>
      </c>
      <c r="D13">
        <v>8560</v>
      </c>
      <c r="E13">
        <f t="shared" si="6"/>
        <v>42</v>
      </c>
      <c r="F13">
        <f t="shared" si="5"/>
        <v>10080</v>
      </c>
      <c r="G13">
        <f t="shared" si="7"/>
        <v>5.25</v>
      </c>
      <c r="H13">
        <f t="shared" si="0"/>
        <v>4.1666666666666666E-3</v>
      </c>
      <c r="I13">
        <f t="shared" si="1"/>
        <v>0.41666666666666669</v>
      </c>
      <c r="J13">
        <v>4140</v>
      </c>
      <c r="K13">
        <f t="shared" si="2"/>
        <v>400000000000</v>
      </c>
      <c r="L13">
        <v>3701</v>
      </c>
      <c r="M13">
        <v>470</v>
      </c>
      <c r="N13">
        <f t="shared" si="3"/>
        <v>-50000000000000</v>
      </c>
      <c r="O13">
        <f t="shared" si="4"/>
        <v>493000000000</v>
      </c>
      <c r="P13">
        <v>38</v>
      </c>
    </row>
    <row r="14" spans="1:16" x14ac:dyDescent="0.2">
      <c r="A14">
        <v>75</v>
      </c>
      <c r="B14">
        <v>25</v>
      </c>
      <c r="C14">
        <v>130</v>
      </c>
      <c r="D14">
        <v>8560</v>
      </c>
      <c r="E14">
        <f t="shared" si="6"/>
        <v>44</v>
      </c>
      <c r="F14">
        <f t="shared" si="5"/>
        <v>10800</v>
      </c>
      <c r="G14">
        <f t="shared" si="7"/>
        <v>8.8000000000000007</v>
      </c>
      <c r="H14">
        <f t="shared" si="0"/>
        <v>4.0740740740740737E-3</v>
      </c>
      <c r="I14">
        <f t="shared" si="1"/>
        <v>0.40740740740740738</v>
      </c>
      <c r="J14">
        <v>4140</v>
      </c>
      <c r="K14">
        <f t="shared" si="2"/>
        <v>400000000000</v>
      </c>
      <c r="L14">
        <v>3701</v>
      </c>
      <c r="M14">
        <v>470</v>
      </c>
      <c r="N14">
        <f t="shared" si="3"/>
        <v>-50000000000000</v>
      </c>
      <c r="O14">
        <f t="shared" si="4"/>
        <v>493000000000</v>
      </c>
      <c r="P14">
        <v>38</v>
      </c>
    </row>
    <row r="15" spans="1:16" x14ac:dyDescent="0.2">
      <c r="A15">
        <v>90</v>
      </c>
      <c r="B15">
        <v>25</v>
      </c>
      <c r="C15">
        <v>434</v>
      </c>
      <c r="D15">
        <v>8660</v>
      </c>
      <c r="E15">
        <f t="shared" si="6"/>
        <v>304</v>
      </c>
      <c r="F15">
        <f t="shared" si="5"/>
        <v>12960</v>
      </c>
      <c r="G15">
        <f t="shared" si="7"/>
        <v>20.266666666666666</v>
      </c>
      <c r="H15">
        <f t="shared" si="0"/>
        <v>2.3456790123456792E-2</v>
      </c>
      <c r="I15">
        <f t="shared" si="1"/>
        <v>2.3456790123456792</v>
      </c>
      <c r="J15">
        <v>4140</v>
      </c>
      <c r="K15">
        <f t="shared" si="2"/>
        <v>400000000000</v>
      </c>
      <c r="L15">
        <v>3701</v>
      </c>
      <c r="M15">
        <v>470</v>
      </c>
      <c r="N15">
        <f t="shared" si="3"/>
        <v>-50000000000000</v>
      </c>
      <c r="O15">
        <f t="shared" si="4"/>
        <v>493000000000</v>
      </c>
      <c r="P15">
        <v>38</v>
      </c>
    </row>
    <row r="16" spans="1:16" x14ac:dyDescent="0.2">
      <c r="A16">
        <v>93.5</v>
      </c>
      <c r="B16">
        <v>25</v>
      </c>
      <c r="C16">
        <v>560</v>
      </c>
      <c r="D16">
        <v>8700</v>
      </c>
      <c r="E16">
        <f t="shared" si="6"/>
        <v>126</v>
      </c>
      <c r="F16">
        <f t="shared" si="5"/>
        <v>13464</v>
      </c>
      <c r="G16">
        <f t="shared" si="7"/>
        <v>36</v>
      </c>
      <c r="H16">
        <f t="shared" si="0"/>
        <v>9.3582887700534752E-3</v>
      </c>
      <c r="I16">
        <f t="shared" si="1"/>
        <v>0.93582887700534756</v>
      </c>
      <c r="J16">
        <v>4140</v>
      </c>
      <c r="K16">
        <f t="shared" si="2"/>
        <v>400000000000</v>
      </c>
      <c r="L16">
        <v>3701</v>
      </c>
      <c r="M16">
        <v>470</v>
      </c>
      <c r="N16">
        <f t="shared" si="3"/>
        <v>-50000000000000</v>
      </c>
      <c r="O16">
        <f t="shared" si="4"/>
        <v>493000000000</v>
      </c>
      <c r="P16">
        <v>38</v>
      </c>
    </row>
    <row r="17" spans="1:16" x14ac:dyDescent="0.2">
      <c r="A17">
        <v>105</v>
      </c>
      <c r="B17">
        <v>25</v>
      </c>
      <c r="C17">
        <v>1032</v>
      </c>
      <c r="D17">
        <v>8700</v>
      </c>
      <c r="E17">
        <f t="shared" si="6"/>
        <v>472</v>
      </c>
      <c r="F17">
        <f t="shared" si="5"/>
        <v>15120</v>
      </c>
      <c r="G17">
        <f t="shared" si="7"/>
        <v>41.043478260869563</v>
      </c>
      <c r="H17">
        <f t="shared" si="0"/>
        <v>3.1216931216931216E-2</v>
      </c>
      <c r="I17">
        <f t="shared" si="1"/>
        <v>3.1216931216931214</v>
      </c>
      <c r="J17">
        <v>4140</v>
      </c>
      <c r="K17">
        <f t="shared" si="2"/>
        <v>400000000000</v>
      </c>
      <c r="L17">
        <v>3701</v>
      </c>
      <c r="M17">
        <v>470</v>
      </c>
      <c r="N17">
        <f t="shared" si="3"/>
        <v>-50000000000000</v>
      </c>
      <c r="O17">
        <f t="shared" si="4"/>
        <v>493000000000</v>
      </c>
      <c r="P17">
        <v>38</v>
      </c>
    </row>
    <row r="18" spans="1:16" x14ac:dyDescent="0.2">
      <c r="A18">
        <v>111</v>
      </c>
      <c r="B18">
        <v>25</v>
      </c>
      <c r="C18">
        <v>1280</v>
      </c>
      <c r="D18">
        <v>8700</v>
      </c>
      <c r="E18">
        <f t="shared" si="6"/>
        <v>248</v>
      </c>
      <c r="F18">
        <f t="shared" si="5"/>
        <v>15984</v>
      </c>
      <c r="G18">
        <f t="shared" si="7"/>
        <v>41.333333333333336</v>
      </c>
      <c r="H18">
        <f t="shared" si="0"/>
        <v>1.5515515515515516E-2</v>
      </c>
      <c r="I18">
        <f t="shared" si="1"/>
        <v>1.5515515515515517</v>
      </c>
      <c r="J18">
        <v>4140</v>
      </c>
      <c r="K18">
        <f t="shared" si="2"/>
        <v>400000000000</v>
      </c>
      <c r="L18">
        <v>3701</v>
      </c>
      <c r="M18">
        <v>470</v>
      </c>
      <c r="N18">
        <f t="shared" si="3"/>
        <v>-50000000000000</v>
      </c>
      <c r="O18">
        <f t="shared" si="4"/>
        <v>493000000000</v>
      </c>
      <c r="P18">
        <v>38</v>
      </c>
    </row>
    <row r="19" spans="1:16" x14ac:dyDescent="0.2">
      <c r="A19">
        <v>115</v>
      </c>
      <c r="B19">
        <v>25</v>
      </c>
      <c r="C19">
        <v>1429</v>
      </c>
      <c r="D19">
        <v>8700</v>
      </c>
      <c r="E19">
        <f t="shared" si="6"/>
        <v>149</v>
      </c>
      <c r="F19">
        <f t="shared" si="5"/>
        <v>16560</v>
      </c>
      <c r="G19">
        <f t="shared" si="7"/>
        <v>37.25</v>
      </c>
      <c r="H19">
        <f t="shared" si="0"/>
        <v>8.9975845410628016E-3</v>
      </c>
      <c r="I19">
        <f t="shared" si="1"/>
        <v>0.89975845410628019</v>
      </c>
      <c r="J19">
        <v>4140</v>
      </c>
      <c r="K19">
        <f t="shared" si="2"/>
        <v>400000000000</v>
      </c>
      <c r="L19">
        <v>3701</v>
      </c>
      <c r="M19">
        <v>470</v>
      </c>
      <c r="N19">
        <f t="shared" si="3"/>
        <v>-50000000000000</v>
      </c>
      <c r="O19">
        <f t="shared" si="4"/>
        <v>493000000000</v>
      </c>
      <c r="P19">
        <v>38</v>
      </c>
    </row>
    <row r="20" spans="1:16" x14ac:dyDescent="0.2">
      <c r="A20">
        <v>125</v>
      </c>
      <c r="B20">
        <v>25</v>
      </c>
      <c r="C20">
        <v>1789</v>
      </c>
      <c r="D20">
        <v>8700</v>
      </c>
      <c r="E20">
        <f t="shared" si="6"/>
        <v>360</v>
      </c>
      <c r="F20">
        <f t="shared" si="5"/>
        <v>18000</v>
      </c>
      <c r="G20">
        <f t="shared" si="7"/>
        <v>36</v>
      </c>
      <c r="H20">
        <f t="shared" si="0"/>
        <v>0.02</v>
      </c>
      <c r="I20">
        <f t="shared" si="1"/>
        <v>2</v>
      </c>
      <c r="J20">
        <v>4140</v>
      </c>
      <c r="K20">
        <f t="shared" si="2"/>
        <v>400000000000</v>
      </c>
      <c r="L20">
        <v>3701</v>
      </c>
      <c r="M20">
        <v>470</v>
      </c>
      <c r="N20">
        <f t="shared" si="3"/>
        <v>-50000000000000</v>
      </c>
      <c r="O20">
        <f t="shared" si="4"/>
        <v>493000000000</v>
      </c>
      <c r="P20">
        <v>38</v>
      </c>
    </row>
    <row r="21" spans="1:16" x14ac:dyDescent="0.2">
      <c r="A21">
        <v>130</v>
      </c>
      <c r="B21">
        <v>25</v>
      </c>
      <c r="C21">
        <v>1943</v>
      </c>
      <c r="D21">
        <v>8700</v>
      </c>
      <c r="E21">
        <f t="shared" si="6"/>
        <v>154</v>
      </c>
      <c r="F21">
        <f t="shared" si="5"/>
        <v>18720</v>
      </c>
      <c r="G21">
        <f t="shared" si="7"/>
        <v>30.8</v>
      </c>
      <c r="H21">
        <f t="shared" si="0"/>
        <v>8.2264957264957268E-3</v>
      </c>
      <c r="I21">
        <f t="shared" si="1"/>
        <v>0.82264957264957272</v>
      </c>
      <c r="J21">
        <v>4140</v>
      </c>
      <c r="K21">
        <f t="shared" si="2"/>
        <v>400000000000</v>
      </c>
      <c r="L21">
        <v>3701</v>
      </c>
      <c r="M21">
        <v>470</v>
      </c>
      <c r="N21">
        <f t="shared" si="3"/>
        <v>-50000000000000</v>
      </c>
      <c r="O21">
        <f t="shared" si="4"/>
        <v>493000000000</v>
      </c>
      <c r="P21">
        <v>38</v>
      </c>
    </row>
    <row r="22" spans="1:16" x14ac:dyDescent="0.2">
      <c r="A22">
        <v>135</v>
      </c>
      <c r="B22">
        <v>25</v>
      </c>
      <c r="C22">
        <v>2060</v>
      </c>
      <c r="D22">
        <v>8700</v>
      </c>
      <c r="E22">
        <f t="shared" si="6"/>
        <v>117</v>
      </c>
      <c r="F22">
        <f t="shared" si="5"/>
        <v>19440</v>
      </c>
      <c r="G22">
        <f t="shared" si="7"/>
        <v>23.4</v>
      </c>
      <c r="H22">
        <f t="shared" si="0"/>
        <v>6.0185185185185185E-3</v>
      </c>
      <c r="I22">
        <f t="shared" si="1"/>
        <v>0.60185185185185186</v>
      </c>
      <c r="J22">
        <v>4140</v>
      </c>
      <c r="K22">
        <f t="shared" si="2"/>
        <v>400000000000</v>
      </c>
      <c r="L22">
        <v>3701</v>
      </c>
      <c r="M22">
        <v>470</v>
      </c>
      <c r="N22">
        <f t="shared" si="3"/>
        <v>-50000000000000</v>
      </c>
      <c r="O22">
        <f t="shared" si="4"/>
        <v>493000000000</v>
      </c>
      <c r="P22">
        <v>38</v>
      </c>
    </row>
    <row r="23" spans="1:16" x14ac:dyDescent="0.2">
      <c r="A23">
        <v>140</v>
      </c>
      <c r="B23">
        <v>25</v>
      </c>
      <c r="C23">
        <v>2200</v>
      </c>
      <c r="D23">
        <v>8700</v>
      </c>
      <c r="E23">
        <f t="shared" si="6"/>
        <v>140</v>
      </c>
      <c r="F23">
        <f t="shared" si="5"/>
        <v>20160</v>
      </c>
      <c r="G23">
        <f t="shared" si="7"/>
        <v>28</v>
      </c>
      <c r="H23">
        <f t="shared" si="0"/>
        <v>6.9444444444444441E-3</v>
      </c>
      <c r="I23">
        <f t="shared" si="1"/>
        <v>0.69444444444444442</v>
      </c>
      <c r="J23">
        <v>4140</v>
      </c>
      <c r="K23">
        <f t="shared" si="2"/>
        <v>400000000000</v>
      </c>
      <c r="L23">
        <v>3701</v>
      </c>
      <c r="M23">
        <v>470</v>
      </c>
      <c r="N23">
        <f t="shared" si="3"/>
        <v>-50000000000000</v>
      </c>
      <c r="O23">
        <f t="shared" si="4"/>
        <v>493000000000</v>
      </c>
      <c r="P23">
        <v>38</v>
      </c>
    </row>
    <row r="24" spans="1:16" x14ac:dyDescent="0.2">
      <c r="A24">
        <v>150</v>
      </c>
      <c r="B24">
        <v>25</v>
      </c>
      <c r="C24">
        <v>2400</v>
      </c>
      <c r="D24">
        <v>8700</v>
      </c>
      <c r="E24">
        <f t="shared" si="6"/>
        <v>200</v>
      </c>
      <c r="F24">
        <f t="shared" si="5"/>
        <v>21600</v>
      </c>
      <c r="G24">
        <f t="shared" si="7"/>
        <v>20</v>
      </c>
      <c r="H24">
        <f t="shared" si="0"/>
        <v>9.2592592592592587E-3</v>
      </c>
      <c r="I24">
        <f t="shared" si="1"/>
        <v>0.92592592592592582</v>
      </c>
      <c r="J24">
        <v>4140</v>
      </c>
      <c r="K24">
        <f t="shared" si="2"/>
        <v>400000000000</v>
      </c>
      <c r="L24">
        <v>3701</v>
      </c>
      <c r="M24">
        <v>470</v>
      </c>
      <c r="N24">
        <f t="shared" si="3"/>
        <v>-50000000000000</v>
      </c>
      <c r="O24">
        <f t="shared" si="4"/>
        <v>493000000000</v>
      </c>
      <c r="P24">
        <v>38</v>
      </c>
    </row>
    <row r="25" spans="1:16" x14ac:dyDescent="0.2">
      <c r="A25">
        <v>160</v>
      </c>
      <c r="B25">
        <v>25</v>
      </c>
      <c r="C25">
        <v>2570</v>
      </c>
      <c r="D25">
        <v>8700</v>
      </c>
      <c r="E25">
        <f t="shared" si="6"/>
        <v>170</v>
      </c>
      <c r="F25">
        <f t="shared" si="5"/>
        <v>23040</v>
      </c>
      <c r="G25">
        <f t="shared" si="7"/>
        <v>17</v>
      </c>
      <c r="H25">
        <f t="shared" si="0"/>
        <v>7.378472222222222E-3</v>
      </c>
      <c r="I25">
        <f t="shared" si="1"/>
        <v>0.73784722222222221</v>
      </c>
      <c r="J25">
        <v>4140</v>
      </c>
      <c r="K25">
        <f t="shared" si="2"/>
        <v>400000000000</v>
      </c>
      <c r="L25">
        <v>3701</v>
      </c>
      <c r="M25">
        <v>470</v>
      </c>
      <c r="N25">
        <f t="shared" si="3"/>
        <v>-50000000000000</v>
      </c>
      <c r="O25">
        <f t="shared" si="4"/>
        <v>493000000000</v>
      </c>
      <c r="P25">
        <v>38</v>
      </c>
    </row>
    <row r="26" spans="1:16" x14ac:dyDescent="0.2">
      <c r="A26">
        <v>167</v>
      </c>
      <c r="B26">
        <v>25</v>
      </c>
      <c r="C26">
        <v>2681</v>
      </c>
      <c r="D26">
        <v>8700</v>
      </c>
      <c r="E26">
        <f t="shared" si="6"/>
        <v>111</v>
      </c>
      <c r="F26">
        <f t="shared" si="5"/>
        <v>24048</v>
      </c>
      <c r="G26">
        <f t="shared" si="7"/>
        <v>15.857142857142858</v>
      </c>
      <c r="H26">
        <f t="shared" si="0"/>
        <v>4.615768463073852E-3</v>
      </c>
      <c r="I26">
        <f t="shared" si="1"/>
        <v>0.46157684630738521</v>
      </c>
      <c r="J26">
        <v>4140</v>
      </c>
      <c r="K26">
        <f t="shared" si="2"/>
        <v>400000000000</v>
      </c>
      <c r="L26">
        <v>3701</v>
      </c>
      <c r="M26">
        <v>470</v>
      </c>
      <c r="N26">
        <f t="shared" si="3"/>
        <v>-50000000000000</v>
      </c>
      <c r="O26">
        <f t="shared" si="4"/>
        <v>493000000000</v>
      </c>
      <c r="P26">
        <v>38</v>
      </c>
    </row>
    <row r="27" spans="1:16" x14ac:dyDescent="0.2">
      <c r="A27">
        <v>184.6</v>
      </c>
      <c r="B27">
        <v>25</v>
      </c>
      <c r="C27">
        <v>3011</v>
      </c>
      <c r="D27">
        <f>(1000/3600)*(F27-F26)+D26</f>
        <v>9404</v>
      </c>
      <c r="E27">
        <f t="shared" si="6"/>
        <v>330</v>
      </c>
      <c r="F27">
        <f t="shared" si="5"/>
        <v>26582.399999999998</v>
      </c>
      <c r="G27">
        <f t="shared" si="7"/>
        <v>18.750000000000007</v>
      </c>
      <c r="H27">
        <f t="shared" si="0"/>
        <v>1.2414228963524739E-2</v>
      </c>
      <c r="I27">
        <f t="shared" si="1"/>
        <v>1.2414228963524738</v>
      </c>
      <c r="J27">
        <v>4140</v>
      </c>
      <c r="K27">
        <f t="shared" si="2"/>
        <v>400000000000</v>
      </c>
      <c r="L27">
        <v>3701</v>
      </c>
      <c r="M27">
        <v>470</v>
      </c>
      <c r="N27">
        <f t="shared" si="3"/>
        <v>-50000000000000</v>
      </c>
      <c r="O27">
        <f t="shared" si="4"/>
        <v>493000000000</v>
      </c>
      <c r="P27">
        <v>38</v>
      </c>
    </row>
    <row r="28" spans="1:16" x14ac:dyDescent="0.2">
      <c r="A28">
        <v>203</v>
      </c>
      <c r="B28">
        <v>25</v>
      </c>
      <c r="C28">
        <v>3606</v>
      </c>
      <c r="D28">
        <v>9404</v>
      </c>
      <c r="E28">
        <f t="shared" si="6"/>
        <v>595</v>
      </c>
      <c r="F28">
        <f t="shared" si="5"/>
        <v>29232</v>
      </c>
      <c r="G28">
        <f t="shared" si="7"/>
        <v>32.336956521739118</v>
      </c>
      <c r="H28">
        <f t="shared" si="0"/>
        <v>2.0354406130268198E-2</v>
      </c>
      <c r="I28">
        <f t="shared" si="1"/>
        <v>2.0354406130268199</v>
      </c>
      <c r="J28">
        <v>4140</v>
      </c>
      <c r="K28">
        <f t="shared" si="2"/>
        <v>400000000000</v>
      </c>
      <c r="L28">
        <v>3701</v>
      </c>
      <c r="M28">
        <v>470</v>
      </c>
      <c r="N28">
        <f t="shared" si="3"/>
        <v>-50000000000000</v>
      </c>
      <c r="O28">
        <f t="shared" si="4"/>
        <v>493000000000</v>
      </c>
      <c r="P28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C017-96C8-E243-B91D-1A00C6BD553A}">
  <dimension ref="A1:P37"/>
  <sheetViews>
    <sheetView topLeftCell="M11" workbookViewId="0">
      <selection activeCell="O2" sqref="O2:O37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C2">
        <v>-5.21</v>
      </c>
      <c r="D2">
        <v>8780</v>
      </c>
      <c r="E2" cm="1">
        <f t="array" aca="1" ref="E2" ca="1">E2:G297</f>
        <v>0</v>
      </c>
      <c r="F2" cm="1">
        <f t="array" aca="1" ref="F2" ca="1">F2:H317</f>
        <v>0</v>
      </c>
      <c r="G2">
        <v>0</v>
      </c>
      <c r="H2">
        <f ca="1">E2/(3600/B2*A2)</f>
        <v>0</v>
      </c>
      <c r="I2">
        <f ca="1">H2*100</f>
        <v>0</v>
      </c>
      <c r="J2">
        <v>4050</v>
      </c>
      <c r="K2">
        <f>-1000000000000</f>
        <v>-1000000000000</v>
      </c>
      <c r="L2">
        <v>0</v>
      </c>
      <c r="M2">
        <v>4050</v>
      </c>
      <c r="N2">
        <f>-20000000000000</f>
        <v>-20000000000000</v>
      </c>
      <c r="O2" s="2">
        <v>150000000000</v>
      </c>
      <c r="P2">
        <f>(364/4050)*100</f>
        <v>8.9876543209876552</v>
      </c>
    </row>
    <row r="3" spans="1:16" x14ac:dyDescent="0.2">
      <c r="A3">
        <v>2.8</v>
      </c>
      <c r="B3">
        <v>40</v>
      </c>
      <c r="C3">
        <v>-4.88</v>
      </c>
      <c r="D3">
        <v>8720</v>
      </c>
      <c r="E3">
        <f>C3-C2</f>
        <v>0.33000000000000007</v>
      </c>
      <c r="F3">
        <f>3600/B3*A3</f>
        <v>251.99999999999997</v>
      </c>
      <c r="G3">
        <f>E3/A3</f>
        <v>0.1178571428571429</v>
      </c>
      <c r="H3">
        <f t="shared" ref="H3:H37" si="0">E3/(3600/B3*A3)</f>
        <v>1.3095238095238099E-3</v>
      </c>
      <c r="I3">
        <f t="shared" ref="I3:I37" si="1">H3*100</f>
        <v>0.13095238095238099</v>
      </c>
      <c r="J3">
        <v>4050</v>
      </c>
      <c r="K3">
        <f t="shared" ref="K3:K37" si="2">-1000000000000</f>
        <v>-1000000000000</v>
      </c>
      <c r="L3">
        <v>0</v>
      </c>
      <c r="M3">
        <v>4050</v>
      </c>
      <c r="N3">
        <f t="shared" ref="N3:N37" si="3">-20000000000000</f>
        <v>-20000000000000</v>
      </c>
      <c r="O3" s="2">
        <v>150000000000</v>
      </c>
      <c r="P3">
        <f t="shared" ref="P3:P37" si="4">(364/4050)*100</f>
        <v>8.9876543209876552</v>
      </c>
    </row>
    <row r="4" spans="1:16" x14ac:dyDescent="0.2">
      <c r="A4">
        <v>5</v>
      </c>
      <c r="B4">
        <v>40</v>
      </c>
      <c r="C4">
        <v>-4.3099999999999996</v>
      </c>
      <c r="D4">
        <v>8700</v>
      </c>
      <c r="E4">
        <f>C4-C3</f>
        <v>0.57000000000000028</v>
      </c>
      <c r="F4">
        <f>3600/B4*A4</f>
        <v>450</v>
      </c>
      <c r="G4">
        <f>E4/(A4-A3)</f>
        <v>0.2590909090909092</v>
      </c>
      <c r="H4">
        <f t="shared" si="0"/>
        <v>1.2666666666666672E-3</v>
      </c>
      <c r="I4">
        <f t="shared" si="1"/>
        <v>0.12666666666666673</v>
      </c>
      <c r="J4">
        <v>4050</v>
      </c>
      <c r="K4">
        <f t="shared" si="2"/>
        <v>-1000000000000</v>
      </c>
      <c r="L4">
        <v>0</v>
      </c>
      <c r="M4">
        <v>4050</v>
      </c>
      <c r="N4">
        <f t="shared" si="3"/>
        <v>-20000000000000</v>
      </c>
      <c r="O4" s="2">
        <v>150000000000</v>
      </c>
      <c r="P4">
        <f t="shared" si="4"/>
        <v>8.9876543209876552</v>
      </c>
    </row>
    <row r="5" spans="1:16" x14ac:dyDescent="0.2">
      <c r="A5">
        <v>10</v>
      </c>
      <c r="B5">
        <v>40</v>
      </c>
      <c r="C5">
        <v>-3.6</v>
      </c>
      <c r="D5">
        <v>8680</v>
      </c>
      <c r="E5">
        <f>C5-C4</f>
        <v>0.70999999999999952</v>
      </c>
      <c r="F5">
        <f t="shared" ref="F5:F35" si="5">3600/B5*A5</f>
        <v>900</v>
      </c>
      <c r="G5">
        <f>E5/(A5-A4)</f>
        <v>0.1419999999999999</v>
      </c>
      <c r="H5">
        <f t="shared" si="0"/>
        <v>7.8888888888888834E-4</v>
      </c>
      <c r="I5">
        <f t="shared" si="1"/>
        <v>7.8888888888888828E-2</v>
      </c>
      <c r="J5">
        <v>4050</v>
      </c>
      <c r="K5">
        <f t="shared" si="2"/>
        <v>-1000000000000</v>
      </c>
      <c r="L5">
        <v>0</v>
      </c>
      <c r="M5">
        <v>4050</v>
      </c>
      <c r="N5">
        <f t="shared" si="3"/>
        <v>-20000000000000</v>
      </c>
      <c r="O5" s="2">
        <v>150000000000</v>
      </c>
      <c r="P5">
        <f t="shared" si="4"/>
        <v>8.9876543209876552</v>
      </c>
    </row>
    <row r="6" spans="1:16" x14ac:dyDescent="0.2">
      <c r="A6">
        <v>15</v>
      </c>
      <c r="B6">
        <v>40</v>
      </c>
      <c r="C6">
        <v>-2.82</v>
      </c>
      <c r="D6">
        <v>8660</v>
      </c>
      <c r="E6">
        <f t="shared" ref="E6:E35" si="6">C6-C5</f>
        <v>0.78000000000000025</v>
      </c>
      <c r="F6">
        <f t="shared" si="5"/>
        <v>1350</v>
      </c>
      <c r="G6">
        <f t="shared" ref="G6:G35" si="7">E6/(A6-A5)</f>
        <v>0.15600000000000006</v>
      </c>
      <c r="H6">
        <f t="shared" si="0"/>
        <v>5.7777777777777797E-4</v>
      </c>
      <c r="I6">
        <f t="shared" si="1"/>
        <v>5.7777777777777796E-2</v>
      </c>
      <c r="J6">
        <v>4050</v>
      </c>
      <c r="K6">
        <f t="shared" si="2"/>
        <v>-1000000000000</v>
      </c>
      <c r="L6">
        <v>0</v>
      </c>
      <c r="M6">
        <v>4050</v>
      </c>
      <c r="N6">
        <f t="shared" si="3"/>
        <v>-20000000000000</v>
      </c>
      <c r="O6" s="2">
        <v>150000000000</v>
      </c>
      <c r="P6">
        <f t="shared" si="4"/>
        <v>8.9876543209876552</v>
      </c>
    </row>
    <row r="7" spans="1:16" x14ac:dyDescent="0.2">
      <c r="A7">
        <v>20</v>
      </c>
      <c r="B7">
        <v>25</v>
      </c>
      <c r="C7">
        <v>-1.97</v>
      </c>
      <c r="D7">
        <v>8640</v>
      </c>
      <c r="E7">
        <f t="shared" si="6"/>
        <v>0.84999999999999987</v>
      </c>
      <c r="F7">
        <f t="shared" si="5"/>
        <v>2880</v>
      </c>
      <c r="G7">
        <f t="shared" si="7"/>
        <v>0.16999999999999998</v>
      </c>
      <c r="H7">
        <f t="shared" si="0"/>
        <v>2.9513888888888884E-4</v>
      </c>
      <c r="I7">
        <f t="shared" si="1"/>
        <v>2.9513888888888885E-2</v>
      </c>
      <c r="J7">
        <v>4050</v>
      </c>
      <c r="K7">
        <f t="shared" si="2"/>
        <v>-1000000000000</v>
      </c>
      <c r="L7">
        <v>0</v>
      </c>
      <c r="M7">
        <v>4050</v>
      </c>
      <c r="N7">
        <f t="shared" si="3"/>
        <v>-20000000000000</v>
      </c>
      <c r="O7" s="2">
        <v>150000000000</v>
      </c>
      <c r="P7">
        <f t="shared" si="4"/>
        <v>8.9876543209876552</v>
      </c>
    </row>
    <row r="8" spans="1:16" x14ac:dyDescent="0.2">
      <c r="A8">
        <v>25</v>
      </c>
      <c r="B8">
        <v>25</v>
      </c>
      <c r="C8">
        <v>-1.1299999999999999</v>
      </c>
      <c r="D8">
        <v>8620</v>
      </c>
      <c r="E8">
        <f t="shared" si="6"/>
        <v>0.84000000000000008</v>
      </c>
      <c r="F8">
        <f t="shared" si="5"/>
        <v>3600</v>
      </c>
      <c r="G8">
        <f t="shared" si="7"/>
        <v>0.16800000000000001</v>
      </c>
      <c r="H8">
        <f t="shared" si="0"/>
        <v>2.3333333333333336E-4</v>
      </c>
      <c r="I8">
        <f t="shared" si="1"/>
        <v>2.3333333333333334E-2</v>
      </c>
      <c r="J8">
        <v>4050</v>
      </c>
      <c r="K8">
        <f t="shared" si="2"/>
        <v>-1000000000000</v>
      </c>
      <c r="L8">
        <v>0</v>
      </c>
      <c r="M8">
        <v>4050</v>
      </c>
      <c r="N8">
        <f t="shared" si="3"/>
        <v>-20000000000000</v>
      </c>
      <c r="O8" s="2">
        <v>150000000000</v>
      </c>
      <c r="P8">
        <f t="shared" si="4"/>
        <v>8.9876543209876552</v>
      </c>
    </row>
    <row r="9" spans="1:16" x14ac:dyDescent="0.2">
      <c r="A9">
        <v>30</v>
      </c>
      <c r="B9">
        <v>25</v>
      </c>
      <c r="C9">
        <v>0.9</v>
      </c>
      <c r="D9">
        <v>8600</v>
      </c>
      <c r="E9">
        <f t="shared" si="6"/>
        <v>2.0299999999999998</v>
      </c>
      <c r="F9">
        <f t="shared" si="5"/>
        <v>4320</v>
      </c>
      <c r="G9">
        <f t="shared" si="7"/>
        <v>0.40599999999999997</v>
      </c>
      <c r="H9">
        <f t="shared" si="0"/>
        <v>4.6990740740740738E-4</v>
      </c>
      <c r="I9">
        <f t="shared" si="1"/>
        <v>4.6990740740740736E-2</v>
      </c>
      <c r="J9">
        <v>4050</v>
      </c>
      <c r="K9">
        <f t="shared" si="2"/>
        <v>-1000000000000</v>
      </c>
      <c r="L9">
        <v>0</v>
      </c>
      <c r="M9">
        <v>4050</v>
      </c>
      <c r="N9">
        <f t="shared" si="3"/>
        <v>-20000000000000</v>
      </c>
      <c r="O9" s="2">
        <v>150000000000</v>
      </c>
      <c r="P9">
        <f t="shared" si="4"/>
        <v>8.9876543209876552</v>
      </c>
    </row>
    <row r="10" spans="1:16" x14ac:dyDescent="0.2">
      <c r="A10">
        <v>40</v>
      </c>
      <c r="B10">
        <v>25</v>
      </c>
      <c r="C10">
        <v>6.82</v>
      </c>
      <c r="D10">
        <v>8600</v>
      </c>
      <c r="E10">
        <f t="shared" si="6"/>
        <v>5.92</v>
      </c>
      <c r="F10">
        <f t="shared" si="5"/>
        <v>5760</v>
      </c>
      <c r="G10">
        <f t="shared" si="7"/>
        <v>0.59199999999999997</v>
      </c>
      <c r="H10">
        <f t="shared" si="0"/>
        <v>1.0277777777777778E-3</v>
      </c>
      <c r="I10">
        <f t="shared" si="1"/>
        <v>0.10277777777777779</v>
      </c>
      <c r="J10">
        <v>4050</v>
      </c>
      <c r="K10">
        <f t="shared" si="2"/>
        <v>-1000000000000</v>
      </c>
      <c r="L10">
        <v>0</v>
      </c>
      <c r="M10">
        <v>4050</v>
      </c>
      <c r="N10">
        <f t="shared" si="3"/>
        <v>-20000000000000</v>
      </c>
      <c r="O10" s="2">
        <v>150000000000</v>
      </c>
      <c r="P10">
        <f t="shared" si="4"/>
        <v>8.9876543209876552</v>
      </c>
    </row>
    <row r="11" spans="1:16" x14ac:dyDescent="0.2">
      <c r="A11">
        <v>45</v>
      </c>
      <c r="B11">
        <v>25</v>
      </c>
      <c r="C11">
        <v>12.9</v>
      </c>
      <c r="D11">
        <v>8600</v>
      </c>
      <c r="E11">
        <f t="shared" si="6"/>
        <v>6.08</v>
      </c>
      <c r="F11">
        <f t="shared" si="5"/>
        <v>6480</v>
      </c>
      <c r="G11">
        <f t="shared" si="7"/>
        <v>1.216</v>
      </c>
      <c r="H11">
        <f t="shared" si="0"/>
        <v>9.3827160493827164E-4</v>
      </c>
      <c r="I11">
        <f t="shared" si="1"/>
        <v>9.3827160493827166E-2</v>
      </c>
      <c r="J11">
        <v>4050</v>
      </c>
      <c r="K11">
        <f t="shared" si="2"/>
        <v>-1000000000000</v>
      </c>
      <c r="L11">
        <v>0</v>
      </c>
      <c r="M11">
        <v>4050</v>
      </c>
      <c r="N11">
        <f t="shared" si="3"/>
        <v>-20000000000000</v>
      </c>
      <c r="O11" s="2">
        <v>150000000000</v>
      </c>
      <c r="P11">
        <f t="shared" si="4"/>
        <v>8.9876543209876552</v>
      </c>
    </row>
    <row r="12" spans="1:16" x14ac:dyDescent="0.2">
      <c r="A12">
        <v>50</v>
      </c>
      <c r="B12">
        <v>25</v>
      </c>
      <c r="C12">
        <v>23</v>
      </c>
      <c r="D12">
        <v>8600</v>
      </c>
      <c r="E12">
        <f t="shared" si="6"/>
        <v>10.1</v>
      </c>
      <c r="F12">
        <f t="shared" si="5"/>
        <v>7200</v>
      </c>
      <c r="G12">
        <f t="shared" si="7"/>
        <v>2.02</v>
      </c>
      <c r="H12">
        <f t="shared" si="0"/>
        <v>1.4027777777777777E-3</v>
      </c>
      <c r="I12">
        <f t="shared" si="1"/>
        <v>0.14027777777777778</v>
      </c>
      <c r="J12">
        <v>4050</v>
      </c>
      <c r="K12">
        <f t="shared" si="2"/>
        <v>-1000000000000</v>
      </c>
      <c r="L12">
        <v>0</v>
      </c>
      <c r="M12">
        <v>4050</v>
      </c>
      <c r="N12">
        <f t="shared" si="3"/>
        <v>-20000000000000</v>
      </c>
      <c r="O12" s="2">
        <v>150000000000</v>
      </c>
      <c r="P12">
        <f t="shared" si="4"/>
        <v>8.9876543209876552</v>
      </c>
    </row>
    <row r="13" spans="1:16" x14ac:dyDescent="0.2">
      <c r="A13">
        <v>60</v>
      </c>
      <c r="B13">
        <v>25</v>
      </c>
      <c r="C13">
        <v>60.5</v>
      </c>
      <c r="D13">
        <v>8600</v>
      </c>
      <c r="E13">
        <f t="shared" si="6"/>
        <v>37.5</v>
      </c>
      <c r="F13">
        <f t="shared" si="5"/>
        <v>8640</v>
      </c>
      <c r="G13">
        <f t="shared" si="7"/>
        <v>3.75</v>
      </c>
      <c r="H13">
        <f t="shared" si="0"/>
        <v>4.340277777777778E-3</v>
      </c>
      <c r="I13">
        <f t="shared" si="1"/>
        <v>0.43402777777777779</v>
      </c>
      <c r="J13">
        <v>4050</v>
      </c>
      <c r="K13">
        <f t="shared" si="2"/>
        <v>-1000000000000</v>
      </c>
      <c r="L13">
        <v>0</v>
      </c>
      <c r="M13">
        <v>4050</v>
      </c>
      <c r="N13">
        <f t="shared" si="3"/>
        <v>-20000000000000</v>
      </c>
      <c r="O13" s="2">
        <v>150000000000</v>
      </c>
      <c r="P13">
        <f t="shared" si="4"/>
        <v>8.9876543209876552</v>
      </c>
    </row>
    <row r="14" spans="1:16" x14ac:dyDescent="0.2">
      <c r="A14">
        <v>70</v>
      </c>
      <c r="B14">
        <v>25</v>
      </c>
      <c r="C14">
        <v>154</v>
      </c>
      <c r="D14">
        <v>8600</v>
      </c>
      <c r="E14">
        <f t="shared" si="6"/>
        <v>93.5</v>
      </c>
      <c r="F14">
        <f t="shared" si="5"/>
        <v>10080</v>
      </c>
      <c r="G14">
        <f t="shared" si="7"/>
        <v>9.35</v>
      </c>
      <c r="H14">
        <f t="shared" si="0"/>
        <v>9.2757936507936508E-3</v>
      </c>
      <c r="I14">
        <f t="shared" si="1"/>
        <v>0.92757936507936511</v>
      </c>
      <c r="J14">
        <v>4050</v>
      </c>
      <c r="K14">
        <f t="shared" si="2"/>
        <v>-1000000000000</v>
      </c>
      <c r="L14">
        <v>0</v>
      </c>
      <c r="M14">
        <v>4050</v>
      </c>
      <c r="N14">
        <f t="shared" si="3"/>
        <v>-20000000000000</v>
      </c>
      <c r="O14" s="2">
        <v>150000000000</v>
      </c>
      <c r="P14">
        <f t="shared" si="4"/>
        <v>8.9876543209876552</v>
      </c>
    </row>
    <row r="15" spans="1:16" x14ac:dyDescent="0.2">
      <c r="A15">
        <v>75</v>
      </c>
      <c r="B15">
        <v>25</v>
      </c>
      <c r="C15">
        <v>216</v>
      </c>
      <c r="D15">
        <v>8600</v>
      </c>
      <c r="E15">
        <f t="shared" si="6"/>
        <v>62</v>
      </c>
      <c r="F15">
        <f t="shared" si="5"/>
        <v>10800</v>
      </c>
      <c r="G15">
        <f t="shared" si="7"/>
        <v>12.4</v>
      </c>
      <c r="H15">
        <f t="shared" si="0"/>
        <v>5.7407407407407407E-3</v>
      </c>
      <c r="I15">
        <f t="shared" si="1"/>
        <v>0.57407407407407407</v>
      </c>
      <c r="J15">
        <v>4050</v>
      </c>
      <c r="K15">
        <f t="shared" si="2"/>
        <v>-1000000000000</v>
      </c>
      <c r="L15">
        <v>0</v>
      </c>
      <c r="M15">
        <v>4050</v>
      </c>
      <c r="N15">
        <f t="shared" si="3"/>
        <v>-20000000000000</v>
      </c>
      <c r="O15" s="2">
        <v>150000000000</v>
      </c>
      <c r="P15">
        <f t="shared" si="4"/>
        <v>8.9876543209876552</v>
      </c>
    </row>
    <row r="16" spans="1:16" x14ac:dyDescent="0.2">
      <c r="A16">
        <v>81</v>
      </c>
      <c r="B16">
        <v>25</v>
      </c>
      <c r="C16">
        <v>336</v>
      </c>
      <c r="D16">
        <v>8700</v>
      </c>
      <c r="E16">
        <f t="shared" si="6"/>
        <v>120</v>
      </c>
      <c r="F16">
        <f t="shared" si="5"/>
        <v>11664</v>
      </c>
      <c r="G16">
        <f t="shared" si="7"/>
        <v>20</v>
      </c>
      <c r="H16">
        <f t="shared" si="0"/>
        <v>1.0288065843621399E-2</v>
      </c>
      <c r="I16">
        <f t="shared" si="1"/>
        <v>1.0288065843621399</v>
      </c>
      <c r="J16">
        <v>4050</v>
      </c>
      <c r="K16">
        <f t="shared" si="2"/>
        <v>-1000000000000</v>
      </c>
      <c r="L16">
        <v>0</v>
      </c>
      <c r="M16">
        <v>4050</v>
      </c>
      <c r="N16">
        <f t="shared" si="3"/>
        <v>-20000000000000</v>
      </c>
      <c r="O16" s="2">
        <v>150000000000</v>
      </c>
      <c r="P16">
        <f t="shared" si="4"/>
        <v>8.9876543209876552</v>
      </c>
    </row>
    <row r="17" spans="1:16" x14ac:dyDescent="0.2">
      <c r="A17">
        <v>85</v>
      </c>
      <c r="B17">
        <v>25</v>
      </c>
      <c r="C17">
        <v>449</v>
      </c>
      <c r="D17">
        <v>8700</v>
      </c>
      <c r="E17">
        <f t="shared" si="6"/>
        <v>113</v>
      </c>
      <c r="F17">
        <f t="shared" si="5"/>
        <v>12240</v>
      </c>
      <c r="G17">
        <f t="shared" si="7"/>
        <v>28.25</v>
      </c>
      <c r="H17">
        <f t="shared" si="0"/>
        <v>9.2320261437908498E-3</v>
      </c>
      <c r="I17">
        <f t="shared" si="1"/>
        <v>0.92320261437908502</v>
      </c>
      <c r="J17">
        <v>4050</v>
      </c>
      <c r="K17">
        <f t="shared" si="2"/>
        <v>-1000000000000</v>
      </c>
      <c r="L17">
        <v>0</v>
      </c>
      <c r="M17">
        <v>4050</v>
      </c>
      <c r="N17">
        <f t="shared" si="3"/>
        <v>-20000000000000</v>
      </c>
      <c r="O17" s="2">
        <v>150000000000</v>
      </c>
      <c r="P17">
        <f t="shared" si="4"/>
        <v>8.9876543209876552</v>
      </c>
    </row>
    <row r="18" spans="1:16" x14ac:dyDescent="0.2">
      <c r="A18">
        <v>90</v>
      </c>
      <c r="B18">
        <v>25</v>
      </c>
      <c r="C18">
        <v>583</v>
      </c>
      <c r="D18">
        <v>8700</v>
      </c>
      <c r="E18">
        <f t="shared" si="6"/>
        <v>134</v>
      </c>
      <c r="F18">
        <f t="shared" si="5"/>
        <v>12960</v>
      </c>
      <c r="G18">
        <f t="shared" si="7"/>
        <v>26.8</v>
      </c>
      <c r="H18">
        <f t="shared" si="0"/>
        <v>1.0339506172839507E-2</v>
      </c>
      <c r="I18">
        <f t="shared" si="1"/>
        <v>1.0339506172839508</v>
      </c>
      <c r="J18">
        <v>4050</v>
      </c>
      <c r="K18">
        <f t="shared" si="2"/>
        <v>-1000000000000</v>
      </c>
      <c r="L18">
        <v>0</v>
      </c>
      <c r="M18">
        <v>4050</v>
      </c>
      <c r="N18">
        <f t="shared" si="3"/>
        <v>-20000000000000</v>
      </c>
      <c r="O18" s="2">
        <v>150000000000</v>
      </c>
      <c r="P18">
        <f t="shared" si="4"/>
        <v>8.9876543209876552</v>
      </c>
    </row>
    <row r="19" spans="1:16" x14ac:dyDescent="0.2">
      <c r="A19">
        <v>95</v>
      </c>
      <c r="B19">
        <v>25</v>
      </c>
      <c r="C19">
        <v>732</v>
      </c>
      <c r="D19">
        <v>8700</v>
      </c>
      <c r="E19">
        <f t="shared" si="6"/>
        <v>149</v>
      </c>
      <c r="F19">
        <f t="shared" si="5"/>
        <v>13680</v>
      </c>
      <c r="G19">
        <f t="shared" si="7"/>
        <v>29.8</v>
      </c>
      <c r="H19">
        <f t="shared" si="0"/>
        <v>1.0891812865497076E-2</v>
      </c>
      <c r="I19">
        <f t="shared" si="1"/>
        <v>1.0891812865497075</v>
      </c>
      <c r="J19">
        <v>4050</v>
      </c>
      <c r="K19">
        <f t="shared" si="2"/>
        <v>-1000000000000</v>
      </c>
      <c r="L19">
        <v>0</v>
      </c>
      <c r="M19">
        <v>4050</v>
      </c>
      <c r="N19">
        <f t="shared" si="3"/>
        <v>-20000000000000</v>
      </c>
      <c r="O19" s="2">
        <v>150000000000</v>
      </c>
      <c r="P19">
        <f t="shared" si="4"/>
        <v>8.9876543209876552</v>
      </c>
    </row>
    <row r="20" spans="1:16" x14ac:dyDescent="0.2">
      <c r="A20">
        <v>100</v>
      </c>
      <c r="B20">
        <v>25</v>
      </c>
      <c r="C20">
        <v>902</v>
      </c>
      <c r="D20">
        <v>8740</v>
      </c>
      <c r="E20">
        <f t="shared" si="6"/>
        <v>170</v>
      </c>
      <c r="F20">
        <f t="shared" si="5"/>
        <v>14400</v>
      </c>
      <c r="G20">
        <f t="shared" si="7"/>
        <v>34</v>
      </c>
      <c r="H20">
        <f t="shared" si="0"/>
        <v>1.1805555555555555E-2</v>
      </c>
      <c r="I20">
        <f t="shared" si="1"/>
        <v>1.1805555555555556</v>
      </c>
      <c r="J20">
        <v>4050</v>
      </c>
      <c r="K20">
        <f t="shared" si="2"/>
        <v>-1000000000000</v>
      </c>
      <c r="L20">
        <v>0</v>
      </c>
      <c r="M20">
        <v>4050</v>
      </c>
      <c r="N20">
        <f t="shared" si="3"/>
        <v>-20000000000000</v>
      </c>
      <c r="O20" s="2">
        <v>150000000000</v>
      </c>
      <c r="P20">
        <f t="shared" si="4"/>
        <v>8.9876543209876552</v>
      </c>
    </row>
    <row r="21" spans="1:16" x14ac:dyDescent="0.2">
      <c r="A21">
        <v>105</v>
      </c>
      <c r="B21">
        <v>25</v>
      </c>
      <c r="C21">
        <v>1067</v>
      </c>
      <c r="D21">
        <v>8740</v>
      </c>
      <c r="E21">
        <f t="shared" si="6"/>
        <v>165</v>
      </c>
      <c r="F21">
        <f t="shared" si="5"/>
        <v>15120</v>
      </c>
      <c r="G21">
        <f t="shared" si="7"/>
        <v>33</v>
      </c>
      <c r="H21">
        <f t="shared" si="0"/>
        <v>1.0912698412698412E-2</v>
      </c>
      <c r="I21">
        <f t="shared" si="1"/>
        <v>1.0912698412698412</v>
      </c>
      <c r="J21">
        <v>4050</v>
      </c>
      <c r="K21">
        <f t="shared" si="2"/>
        <v>-1000000000000</v>
      </c>
      <c r="L21">
        <v>0</v>
      </c>
      <c r="M21">
        <v>4050</v>
      </c>
      <c r="N21">
        <f t="shared" si="3"/>
        <v>-20000000000000</v>
      </c>
      <c r="O21" s="2">
        <v>150000000000</v>
      </c>
      <c r="P21">
        <f t="shared" si="4"/>
        <v>8.9876543209876552</v>
      </c>
    </row>
    <row r="22" spans="1:16" x14ac:dyDescent="0.2">
      <c r="A22">
        <v>110</v>
      </c>
      <c r="B22">
        <v>25</v>
      </c>
      <c r="C22">
        <v>1213</v>
      </c>
      <c r="D22">
        <v>8740</v>
      </c>
      <c r="E22">
        <f t="shared" si="6"/>
        <v>146</v>
      </c>
      <c r="F22">
        <f t="shared" si="5"/>
        <v>15840</v>
      </c>
      <c r="G22">
        <f t="shared" si="7"/>
        <v>29.2</v>
      </c>
      <c r="H22">
        <f t="shared" si="0"/>
        <v>9.2171717171717175E-3</v>
      </c>
      <c r="I22">
        <f t="shared" si="1"/>
        <v>0.92171717171717171</v>
      </c>
      <c r="J22">
        <v>4050</v>
      </c>
      <c r="K22">
        <f t="shared" si="2"/>
        <v>-1000000000000</v>
      </c>
      <c r="L22">
        <v>0</v>
      </c>
      <c r="M22">
        <v>4050</v>
      </c>
      <c r="N22">
        <f t="shared" si="3"/>
        <v>-20000000000000</v>
      </c>
      <c r="O22" s="2">
        <v>150000000000</v>
      </c>
      <c r="P22">
        <f t="shared" si="4"/>
        <v>8.9876543209876552</v>
      </c>
    </row>
    <row r="23" spans="1:16" x14ac:dyDescent="0.2">
      <c r="A23">
        <v>115</v>
      </c>
      <c r="B23">
        <v>25</v>
      </c>
      <c r="C23">
        <v>1340</v>
      </c>
      <c r="D23">
        <v>8740</v>
      </c>
      <c r="E23">
        <f t="shared" si="6"/>
        <v>127</v>
      </c>
      <c r="F23">
        <f t="shared" si="5"/>
        <v>16560</v>
      </c>
      <c r="G23">
        <f t="shared" si="7"/>
        <v>25.4</v>
      </c>
      <c r="H23">
        <f t="shared" si="0"/>
        <v>7.6690821256038648E-3</v>
      </c>
      <c r="I23">
        <f t="shared" si="1"/>
        <v>0.76690821256038644</v>
      </c>
      <c r="J23">
        <v>4050</v>
      </c>
      <c r="K23">
        <f t="shared" si="2"/>
        <v>-1000000000000</v>
      </c>
      <c r="L23">
        <v>0</v>
      </c>
      <c r="M23">
        <v>4050</v>
      </c>
      <c r="N23">
        <f t="shared" si="3"/>
        <v>-20000000000000</v>
      </c>
      <c r="O23" s="2">
        <v>150000000000</v>
      </c>
      <c r="P23">
        <f t="shared" si="4"/>
        <v>8.9876543209876552</v>
      </c>
    </row>
    <row r="24" spans="1:16" x14ac:dyDescent="0.2">
      <c r="A24">
        <v>120</v>
      </c>
      <c r="B24">
        <v>25</v>
      </c>
      <c r="C24">
        <v>1474</v>
      </c>
      <c r="D24">
        <v>8720</v>
      </c>
      <c r="E24">
        <f t="shared" si="6"/>
        <v>134</v>
      </c>
      <c r="F24">
        <f t="shared" si="5"/>
        <v>17280</v>
      </c>
      <c r="G24">
        <f t="shared" si="7"/>
        <v>26.8</v>
      </c>
      <c r="H24">
        <f t="shared" si="0"/>
        <v>7.7546296296296295E-3</v>
      </c>
      <c r="I24">
        <f t="shared" si="1"/>
        <v>0.77546296296296291</v>
      </c>
      <c r="J24">
        <v>4050</v>
      </c>
      <c r="K24">
        <f t="shared" si="2"/>
        <v>-1000000000000</v>
      </c>
      <c r="L24">
        <v>0</v>
      </c>
      <c r="M24">
        <v>4050</v>
      </c>
      <c r="N24">
        <f t="shared" si="3"/>
        <v>-20000000000000</v>
      </c>
      <c r="O24" s="2">
        <v>150000000000</v>
      </c>
      <c r="P24">
        <f t="shared" si="4"/>
        <v>8.9876543209876552</v>
      </c>
    </row>
    <row r="25" spans="1:16" x14ac:dyDescent="0.2">
      <c r="A25">
        <v>125</v>
      </c>
      <c r="B25">
        <v>25</v>
      </c>
      <c r="C25">
        <v>1573</v>
      </c>
      <c r="D25">
        <v>8720</v>
      </c>
      <c r="E25">
        <f t="shared" si="6"/>
        <v>99</v>
      </c>
      <c r="F25">
        <f t="shared" si="5"/>
        <v>18000</v>
      </c>
      <c r="G25">
        <f t="shared" si="7"/>
        <v>19.8</v>
      </c>
      <c r="H25">
        <f t="shared" si="0"/>
        <v>5.4999999999999997E-3</v>
      </c>
      <c r="I25">
        <f t="shared" si="1"/>
        <v>0.54999999999999993</v>
      </c>
      <c r="J25">
        <v>4050</v>
      </c>
      <c r="K25">
        <f t="shared" si="2"/>
        <v>-1000000000000</v>
      </c>
      <c r="L25">
        <v>0</v>
      </c>
      <c r="M25">
        <v>4050</v>
      </c>
      <c r="N25">
        <f t="shared" si="3"/>
        <v>-20000000000000</v>
      </c>
      <c r="O25" s="2">
        <v>150000000000</v>
      </c>
      <c r="P25">
        <f t="shared" si="4"/>
        <v>8.9876543209876552</v>
      </c>
    </row>
    <row r="26" spans="1:16" x14ac:dyDescent="0.2">
      <c r="A26">
        <v>140</v>
      </c>
      <c r="B26">
        <v>25</v>
      </c>
      <c r="C26">
        <v>1875</v>
      </c>
      <c r="D26">
        <v>8720</v>
      </c>
      <c r="E26">
        <f t="shared" si="6"/>
        <v>302</v>
      </c>
      <c r="F26">
        <f t="shared" si="5"/>
        <v>20160</v>
      </c>
      <c r="G26">
        <f t="shared" si="7"/>
        <v>20.133333333333333</v>
      </c>
      <c r="H26">
        <f t="shared" si="0"/>
        <v>1.4980158730158731E-2</v>
      </c>
      <c r="I26">
        <f t="shared" si="1"/>
        <v>1.498015873015873</v>
      </c>
      <c r="J26">
        <v>4050</v>
      </c>
      <c r="K26">
        <f t="shared" si="2"/>
        <v>-1000000000000</v>
      </c>
      <c r="L26">
        <v>0</v>
      </c>
      <c r="M26">
        <v>4050</v>
      </c>
      <c r="N26">
        <f t="shared" si="3"/>
        <v>-20000000000000</v>
      </c>
      <c r="O26" s="2">
        <v>150000000000</v>
      </c>
      <c r="P26">
        <f t="shared" si="4"/>
        <v>8.9876543209876552</v>
      </c>
    </row>
    <row r="27" spans="1:16" x14ac:dyDescent="0.2">
      <c r="A27">
        <v>145</v>
      </c>
      <c r="B27">
        <v>25</v>
      </c>
      <c r="C27">
        <v>1960</v>
      </c>
      <c r="D27">
        <v>8720</v>
      </c>
      <c r="E27">
        <f t="shared" si="6"/>
        <v>85</v>
      </c>
      <c r="F27">
        <f t="shared" si="5"/>
        <v>20880</v>
      </c>
      <c r="G27">
        <f t="shared" si="7"/>
        <v>17</v>
      </c>
      <c r="H27">
        <f t="shared" si="0"/>
        <v>4.0708812260536395E-3</v>
      </c>
      <c r="I27">
        <f t="shared" si="1"/>
        <v>0.40708812260536398</v>
      </c>
      <c r="J27">
        <v>4050</v>
      </c>
      <c r="K27">
        <f t="shared" si="2"/>
        <v>-1000000000000</v>
      </c>
      <c r="L27">
        <v>0</v>
      </c>
      <c r="M27">
        <v>4050</v>
      </c>
      <c r="N27">
        <f t="shared" si="3"/>
        <v>-20000000000000</v>
      </c>
      <c r="O27" s="2">
        <v>150000000000</v>
      </c>
      <c r="P27">
        <f t="shared" si="4"/>
        <v>8.9876543209876552</v>
      </c>
    </row>
    <row r="28" spans="1:16" x14ac:dyDescent="0.2">
      <c r="A28">
        <v>150</v>
      </c>
      <c r="B28">
        <v>25</v>
      </c>
      <c r="C28">
        <v>2045</v>
      </c>
      <c r="D28">
        <v>8720</v>
      </c>
      <c r="E28">
        <f t="shared" si="6"/>
        <v>85</v>
      </c>
      <c r="F28">
        <f t="shared" si="5"/>
        <v>21600</v>
      </c>
      <c r="G28">
        <f t="shared" si="7"/>
        <v>17</v>
      </c>
      <c r="H28">
        <f t="shared" si="0"/>
        <v>3.9351851851851848E-3</v>
      </c>
      <c r="I28">
        <f t="shared" si="1"/>
        <v>0.39351851851851849</v>
      </c>
      <c r="J28">
        <v>4050</v>
      </c>
      <c r="K28">
        <f t="shared" si="2"/>
        <v>-1000000000000</v>
      </c>
      <c r="L28">
        <v>0</v>
      </c>
      <c r="M28">
        <v>4050</v>
      </c>
      <c r="N28">
        <f t="shared" si="3"/>
        <v>-20000000000000</v>
      </c>
      <c r="O28" s="2">
        <v>150000000000</v>
      </c>
      <c r="P28">
        <f t="shared" si="4"/>
        <v>8.9876543209876552</v>
      </c>
    </row>
    <row r="29" spans="1:16" x14ac:dyDescent="0.2">
      <c r="A29">
        <v>155</v>
      </c>
      <c r="B29">
        <v>25</v>
      </c>
      <c r="C29">
        <v>2110</v>
      </c>
      <c r="D29">
        <v>8720</v>
      </c>
      <c r="E29">
        <f t="shared" si="6"/>
        <v>65</v>
      </c>
      <c r="F29">
        <f t="shared" si="5"/>
        <v>22320</v>
      </c>
      <c r="G29">
        <f t="shared" si="7"/>
        <v>13</v>
      </c>
      <c r="H29">
        <f t="shared" si="0"/>
        <v>2.9121863799283156E-3</v>
      </c>
      <c r="I29">
        <f t="shared" si="1"/>
        <v>0.29121863799283154</v>
      </c>
      <c r="J29">
        <v>4050</v>
      </c>
      <c r="K29">
        <f t="shared" si="2"/>
        <v>-1000000000000</v>
      </c>
      <c r="L29">
        <v>0</v>
      </c>
      <c r="M29">
        <v>4050</v>
      </c>
      <c r="N29">
        <f t="shared" si="3"/>
        <v>-20000000000000</v>
      </c>
      <c r="O29" s="2">
        <v>150000000000</v>
      </c>
      <c r="P29">
        <f t="shared" si="4"/>
        <v>8.9876543209876552</v>
      </c>
    </row>
    <row r="30" spans="1:16" x14ac:dyDescent="0.2">
      <c r="A30">
        <v>160</v>
      </c>
      <c r="B30">
        <v>25</v>
      </c>
      <c r="C30">
        <v>2195</v>
      </c>
      <c r="D30">
        <v>8720</v>
      </c>
      <c r="E30">
        <f t="shared" si="6"/>
        <v>85</v>
      </c>
      <c r="F30">
        <f t="shared" si="5"/>
        <v>23040</v>
      </c>
      <c r="G30">
        <f t="shared" si="7"/>
        <v>17</v>
      </c>
      <c r="H30">
        <f t="shared" si="0"/>
        <v>3.689236111111111E-3</v>
      </c>
      <c r="I30">
        <f t="shared" si="1"/>
        <v>0.3689236111111111</v>
      </c>
      <c r="J30">
        <v>4050</v>
      </c>
      <c r="K30">
        <f t="shared" si="2"/>
        <v>-1000000000000</v>
      </c>
      <c r="L30">
        <v>0</v>
      </c>
      <c r="M30">
        <v>4050</v>
      </c>
      <c r="N30">
        <f t="shared" si="3"/>
        <v>-20000000000000</v>
      </c>
      <c r="O30" s="2">
        <v>150000000000</v>
      </c>
      <c r="P30">
        <f t="shared" si="4"/>
        <v>8.9876543209876552</v>
      </c>
    </row>
    <row r="31" spans="1:16" x14ac:dyDescent="0.2">
      <c r="A31">
        <v>165</v>
      </c>
      <c r="B31">
        <v>25</v>
      </c>
      <c r="C31">
        <v>2275</v>
      </c>
      <c r="D31">
        <v>8720</v>
      </c>
      <c r="E31">
        <f t="shared" si="6"/>
        <v>80</v>
      </c>
      <c r="F31">
        <f t="shared" si="5"/>
        <v>23760</v>
      </c>
      <c r="G31">
        <f t="shared" si="7"/>
        <v>16</v>
      </c>
      <c r="H31">
        <f t="shared" si="0"/>
        <v>3.3670033670033669E-3</v>
      </c>
      <c r="I31">
        <f t="shared" si="1"/>
        <v>0.33670033670033667</v>
      </c>
      <c r="J31">
        <v>4050</v>
      </c>
      <c r="K31">
        <f t="shared" si="2"/>
        <v>-1000000000000</v>
      </c>
      <c r="L31">
        <v>0</v>
      </c>
      <c r="M31">
        <v>4050</v>
      </c>
      <c r="N31">
        <f t="shared" si="3"/>
        <v>-20000000000000</v>
      </c>
      <c r="O31" s="2">
        <v>150000000000</v>
      </c>
      <c r="P31">
        <f t="shared" si="4"/>
        <v>8.9876543209876552</v>
      </c>
    </row>
    <row r="32" spans="1:16" x14ac:dyDescent="0.2">
      <c r="A32">
        <v>170</v>
      </c>
      <c r="B32">
        <v>25</v>
      </c>
      <c r="C32">
        <v>2360</v>
      </c>
      <c r="D32">
        <v>8720</v>
      </c>
      <c r="E32">
        <f t="shared" si="6"/>
        <v>85</v>
      </c>
      <c r="F32">
        <f t="shared" si="5"/>
        <v>24480</v>
      </c>
      <c r="G32">
        <f t="shared" si="7"/>
        <v>17</v>
      </c>
      <c r="H32">
        <f t="shared" si="0"/>
        <v>3.472222222222222E-3</v>
      </c>
      <c r="I32">
        <f t="shared" si="1"/>
        <v>0.34722222222222221</v>
      </c>
      <c r="J32">
        <v>4050</v>
      </c>
      <c r="K32">
        <f t="shared" si="2"/>
        <v>-1000000000000</v>
      </c>
      <c r="L32">
        <v>0</v>
      </c>
      <c r="M32">
        <v>4050</v>
      </c>
      <c r="N32">
        <f t="shared" si="3"/>
        <v>-20000000000000</v>
      </c>
      <c r="O32" s="2">
        <v>150000000000</v>
      </c>
      <c r="P32">
        <f t="shared" si="4"/>
        <v>8.9876543209876552</v>
      </c>
    </row>
    <row r="33" spans="1:16" x14ac:dyDescent="0.2">
      <c r="A33">
        <v>175</v>
      </c>
      <c r="B33">
        <v>25</v>
      </c>
      <c r="C33">
        <v>2460</v>
      </c>
      <c r="D33">
        <v>8720</v>
      </c>
      <c r="E33">
        <f t="shared" si="6"/>
        <v>100</v>
      </c>
      <c r="F33">
        <f t="shared" si="5"/>
        <v>25200</v>
      </c>
      <c r="G33">
        <f t="shared" si="7"/>
        <v>20</v>
      </c>
      <c r="H33">
        <f t="shared" si="0"/>
        <v>3.968253968253968E-3</v>
      </c>
      <c r="I33">
        <f t="shared" si="1"/>
        <v>0.3968253968253968</v>
      </c>
      <c r="J33">
        <v>4050</v>
      </c>
      <c r="K33">
        <f t="shared" si="2"/>
        <v>-1000000000000</v>
      </c>
      <c r="L33">
        <v>0</v>
      </c>
      <c r="M33">
        <v>4050</v>
      </c>
      <c r="N33">
        <f t="shared" si="3"/>
        <v>-20000000000000</v>
      </c>
      <c r="O33" s="2">
        <v>150000000000</v>
      </c>
      <c r="P33">
        <f t="shared" si="4"/>
        <v>8.9876543209876552</v>
      </c>
    </row>
    <row r="34" spans="1:16" x14ac:dyDescent="0.2">
      <c r="A34">
        <v>180</v>
      </c>
      <c r="B34">
        <v>25</v>
      </c>
      <c r="C34">
        <v>2580</v>
      </c>
      <c r="D34">
        <v>8720</v>
      </c>
      <c r="E34">
        <f t="shared" si="6"/>
        <v>120</v>
      </c>
      <c r="F34">
        <f t="shared" si="5"/>
        <v>25920</v>
      </c>
      <c r="G34">
        <f t="shared" si="7"/>
        <v>24</v>
      </c>
      <c r="H34">
        <f t="shared" si="0"/>
        <v>4.6296296296296294E-3</v>
      </c>
      <c r="I34">
        <f t="shared" si="1"/>
        <v>0.46296296296296291</v>
      </c>
      <c r="J34">
        <v>4050</v>
      </c>
      <c r="K34">
        <f t="shared" si="2"/>
        <v>-1000000000000</v>
      </c>
      <c r="L34">
        <v>0</v>
      </c>
      <c r="M34">
        <v>4050</v>
      </c>
      <c r="N34">
        <f t="shared" si="3"/>
        <v>-20000000000000</v>
      </c>
      <c r="O34" s="2">
        <v>150000000000</v>
      </c>
      <c r="P34">
        <f t="shared" si="4"/>
        <v>8.9876543209876552</v>
      </c>
    </row>
    <row r="35" spans="1:16" x14ac:dyDescent="0.2">
      <c r="A35">
        <v>185</v>
      </c>
      <c r="B35">
        <v>25</v>
      </c>
      <c r="C35">
        <v>2700</v>
      </c>
      <c r="D35">
        <v>8720</v>
      </c>
      <c r="E35">
        <f t="shared" si="6"/>
        <v>120</v>
      </c>
      <c r="F35">
        <f t="shared" si="5"/>
        <v>26640</v>
      </c>
      <c r="G35">
        <f t="shared" si="7"/>
        <v>24</v>
      </c>
      <c r="H35">
        <f t="shared" si="0"/>
        <v>4.5045045045045045E-3</v>
      </c>
      <c r="I35">
        <f t="shared" si="1"/>
        <v>0.45045045045045046</v>
      </c>
      <c r="J35">
        <v>4050</v>
      </c>
      <c r="K35">
        <f t="shared" si="2"/>
        <v>-1000000000000</v>
      </c>
      <c r="L35">
        <v>0</v>
      </c>
      <c r="M35">
        <v>4050</v>
      </c>
      <c r="N35">
        <f t="shared" si="3"/>
        <v>-20000000000000</v>
      </c>
      <c r="O35" s="2">
        <v>150000000000</v>
      </c>
      <c r="P35">
        <f t="shared" si="4"/>
        <v>8.9876543209876552</v>
      </c>
    </row>
    <row r="36" spans="1:16" x14ac:dyDescent="0.2">
      <c r="A36">
        <v>191</v>
      </c>
      <c r="B36">
        <v>25</v>
      </c>
      <c r="C36">
        <v>2897</v>
      </c>
      <c r="D36">
        <v>8954</v>
      </c>
      <c r="E36">
        <f>C36-C35</f>
        <v>197</v>
      </c>
      <c r="F36">
        <f>3600/B36*A36</f>
        <v>27504</v>
      </c>
      <c r="G36">
        <f>E36/(A36-A35)</f>
        <v>32.833333333333336</v>
      </c>
      <c r="H36">
        <f t="shared" si="0"/>
        <v>7.1625945317044795E-3</v>
      </c>
      <c r="I36">
        <f t="shared" si="1"/>
        <v>0.71625945317044792</v>
      </c>
      <c r="J36">
        <v>4050</v>
      </c>
      <c r="K36">
        <f t="shared" si="2"/>
        <v>-1000000000000</v>
      </c>
      <c r="L36">
        <v>0</v>
      </c>
      <c r="M36">
        <v>4050</v>
      </c>
      <c r="N36">
        <f t="shared" si="3"/>
        <v>-20000000000000</v>
      </c>
      <c r="O36" s="2">
        <v>150000000000</v>
      </c>
      <c r="P36">
        <f t="shared" si="4"/>
        <v>8.9876543209876552</v>
      </c>
    </row>
    <row r="37" spans="1:16" x14ac:dyDescent="0.2">
      <c r="A37">
        <v>205</v>
      </c>
      <c r="B37">
        <v>25</v>
      </c>
      <c r="C37">
        <v>3948</v>
      </c>
      <c r="D37">
        <v>9498</v>
      </c>
      <c r="E37">
        <f>C37-C36</f>
        <v>1051</v>
      </c>
      <c r="F37">
        <f>3600/B37*A37</f>
        <v>29520</v>
      </c>
      <c r="G37">
        <f>E37/(A37-A36)</f>
        <v>75.071428571428569</v>
      </c>
      <c r="H37">
        <f t="shared" si="0"/>
        <v>3.5602981029810299E-2</v>
      </c>
      <c r="I37">
        <f t="shared" si="1"/>
        <v>3.5602981029810299</v>
      </c>
      <c r="J37">
        <v>4050</v>
      </c>
      <c r="K37">
        <f t="shared" si="2"/>
        <v>-1000000000000</v>
      </c>
      <c r="L37">
        <v>0</v>
      </c>
      <c r="M37">
        <v>4050</v>
      </c>
      <c r="N37">
        <f t="shared" si="3"/>
        <v>-20000000000000</v>
      </c>
      <c r="O37" s="2">
        <v>150000000000</v>
      </c>
      <c r="P37">
        <f t="shared" si="4"/>
        <v>8.9876543209876552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449C-9D8C-704D-A512-EFB9D8A19D50}">
  <dimension ref="A1:P38"/>
  <sheetViews>
    <sheetView topLeftCell="O1" workbookViewId="0">
      <selection activeCell="L37" sqref="L37:P38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C2">
        <v>6.38</v>
      </c>
      <c r="D2">
        <v>8600</v>
      </c>
      <c r="E2" cm="1">
        <f t="array" aca="1" ref="E2" ca="1">E2:G297</f>
        <v>0</v>
      </c>
      <c r="F2" cm="1">
        <f t="array" aca="1" ref="F2" ca="1">F2:H317</f>
        <v>0</v>
      </c>
      <c r="G2">
        <v>0</v>
      </c>
      <c r="H2">
        <f ca="1">E2/(3600/B2*A2)</f>
        <v>0</v>
      </c>
      <c r="I2">
        <f ca="1">H2*100</f>
        <v>0</v>
      </c>
      <c r="J2">
        <v>3896</v>
      </c>
      <c r="K2" s="2">
        <v>500000000000</v>
      </c>
      <c r="L2">
        <v>3896</v>
      </c>
      <c r="M2">
        <v>0</v>
      </c>
      <c r="N2" s="2">
        <v>-380000000000</v>
      </c>
      <c r="O2" s="2">
        <v>-850000000000</v>
      </c>
      <c r="P2">
        <f>(568/3896)*100</f>
        <v>14.579055441478438</v>
      </c>
    </row>
    <row r="3" spans="1:16" x14ac:dyDescent="0.2">
      <c r="A3">
        <v>3</v>
      </c>
      <c r="B3">
        <v>40</v>
      </c>
      <c r="C3">
        <v>6.58</v>
      </c>
      <c r="D3">
        <v>8600</v>
      </c>
      <c r="E3">
        <f>C3-C2</f>
        <v>0.20000000000000018</v>
      </c>
      <c r="F3">
        <f>3600/B3*A3</f>
        <v>270</v>
      </c>
      <c r="G3">
        <f>E3/A3</f>
        <v>6.6666666666666721E-2</v>
      </c>
      <c r="H3">
        <f t="shared" ref="H3:H38" si="0">E3/(3600/B3*A3)</f>
        <v>7.4074074074074135E-4</v>
      </c>
      <c r="I3">
        <f t="shared" ref="I3:I38" si="1">H3*100</f>
        <v>7.4074074074074139E-2</v>
      </c>
      <c r="J3">
        <v>3896</v>
      </c>
      <c r="K3" s="2">
        <v>500000000000</v>
      </c>
      <c r="L3">
        <v>3896</v>
      </c>
      <c r="M3">
        <v>0</v>
      </c>
      <c r="N3" s="2">
        <v>-380000000000</v>
      </c>
      <c r="O3" s="2">
        <v>-850000000000</v>
      </c>
      <c r="P3">
        <f t="shared" ref="P3:P38" si="2">(568/3896)*100</f>
        <v>14.579055441478438</v>
      </c>
    </row>
    <row r="4" spans="1:16" x14ac:dyDescent="0.2">
      <c r="A4">
        <v>7</v>
      </c>
      <c r="B4">
        <v>40</v>
      </c>
      <c r="C4">
        <v>7.06</v>
      </c>
      <c r="D4">
        <v>8600</v>
      </c>
      <c r="E4">
        <f>C4-C3</f>
        <v>0.47999999999999954</v>
      </c>
      <c r="F4">
        <f>3600/B4*A4</f>
        <v>630</v>
      </c>
      <c r="G4">
        <f>E4/(A4-A3)</f>
        <v>0.11999999999999988</v>
      </c>
      <c r="H4">
        <f t="shared" si="0"/>
        <v>7.6190476190476117E-4</v>
      </c>
      <c r="I4">
        <f t="shared" si="1"/>
        <v>7.6190476190476114E-2</v>
      </c>
      <c r="J4">
        <v>3896</v>
      </c>
      <c r="K4" s="2">
        <v>500000000000</v>
      </c>
      <c r="L4">
        <v>3896</v>
      </c>
      <c r="M4">
        <v>0</v>
      </c>
      <c r="N4" s="2">
        <v>-380000000000</v>
      </c>
      <c r="O4" s="2">
        <v>-850000000000</v>
      </c>
      <c r="P4">
        <f t="shared" si="2"/>
        <v>14.579055441478438</v>
      </c>
    </row>
    <row r="5" spans="1:16" x14ac:dyDescent="0.2">
      <c r="A5">
        <v>11</v>
      </c>
      <c r="B5">
        <v>40</v>
      </c>
      <c r="C5">
        <v>7.71</v>
      </c>
      <c r="D5">
        <v>8600</v>
      </c>
      <c r="E5">
        <f>C5-C4</f>
        <v>0.65000000000000036</v>
      </c>
      <c r="F5">
        <f t="shared" ref="F5:F35" si="3">3600/B5*A5</f>
        <v>990</v>
      </c>
      <c r="G5">
        <f>E5/(A5-A4)</f>
        <v>0.16250000000000009</v>
      </c>
      <c r="H5">
        <f t="shared" si="0"/>
        <v>6.5656565656565689E-4</v>
      </c>
      <c r="I5">
        <f t="shared" si="1"/>
        <v>6.5656565656565691E-2</v>
      </c>
      <c r="J5">
        <v>3896</v>
      </c>
      <c r="K5" s="2">
        <v>500000000000</v>
      </c>
      <c r="L5">
        <v>3896</v>
      </c>
      <c r="M5">
        <v>0</v>
      </c>
      <c r="N5" s="2">
        <v>-380000000000</v>
      </c>
      <c r="O5" s="2">
        <v>-850000000000</v>
      </c>
      <c r="P5">
        <f t="shared" si="2"/>
        <v>14.579055441478438</v>
      </c>
    </row>
    <row r="6" spans="1:16" x14ac:dyDescent="0.2">
      <c r="A6">
        <v>16.5</v>
      </c>
      <c r="B6">
        <v>40</v>
      </c>
      <c r="C6">
        <v>8.6999999999999993</v>
      </c>
      <c r="D6">
        <v>8600</v>
      </c>
      <c r="E6">
        <f t="shared" ref="E6:E35" si="4">C6-C5</f>
        <v>0.98999999999999932</v>
      </c>
      <c r="F6">
        <f t="shared" si="3"/>
        <v>1485</v>
      </c>
      <c r="G6">
        <f t="shared" ref="G6:G35" si="5">E6/(A6-A5)</f>
        <v>0.17999999999999988</v>
      </c>
      <c r="H6">
        <f t="shared" si="0"/>
        <v>6.6666666666666621E-4</v>
      </c>
      <c r="I6">
        <f t="shared" si="1"/>
        <v>6.6666666666666624E-2</v>
      </c>
      <c r="J6">
        <v>3896</v>
      </c>
      <c r="K6" s="2">
        <v>500000000000</v>
      </c>
      <c r="L6">
        <v>3896</v>
      </c>
      <c r="M6">
        <v>0</v>
      </c>
      <c r="N6" s="2">
        <v>-380000000000</v>
      </c>
      <c r="O6" s="2">
        <v>-850000000000</v>
      </c>
      <c r="P6">
        <f t="shared" si="2"/>
        <v>14.579055441478438</v>
      </c>
    </row>
    <row r="7" spans="1:16" x14ac:dyDescent="0.2">
      <c r="A7">
        <v>20</v>
      </c>
      <c r="B7">
        <v>25</v>
      </c>
      <c r="C7">
        <v>9.32</v>
      </c>
      <c r="D7">
        <v>8580</v>
      </c>
      <c r="E7">
        <f t="shared" si="4"/>
        <v>0.62000000000000099</v>
      </c>
      <c r="F7">
        <f t="shared" si="3"/>
        <v>2880</v>
      </c>
      <c r="G7">
        <f t="shared" si="5"/>
        <v>0.17714285714285744</v>
      </c>
      <c r="H7">
        <f t="shared" si="0"/>
        <v>2.1527777777777813E-4</v>
      </c>
      <c r="I7">
        <f t="shared" si="1"/>
        <v>2.1527777777777812E-2</v>
      </c>
      <c r="J7">
        <v>3896</v>
      </c>
      <c r="K7" s="2">
        <v>500000000000</v>
      </c>
      <c r="L7">
        <v>3896</v>
      </c>
      <c r="M7">
        <v>0</v>
      </c>
      <c r="N7" s="2">
        <v>-380000000000</v>
      </c>
      <c r="O7" s="2">
        <v>-850000000000</v>
      </c>
      <c r="P7">
        <f t="shared" si="2"/>
        <v>14.579055441478438</v>
      </c>
    </row>
    <row r="8" spans="1:16" x14ac:dyDescent="0.2">
      <c r="A8">
        <v>25</v>
      </c>
      <c r="B8">
        <v>25</v>
      </c>
      <c r="C8">
        <v>11.16</v>
      </c>
      <c r="D8">
        <v>8560</v>
      </c>
      <c r="E8">
        <f t="shared" si="4"/>
        <v>1.8399999999999999</v>
      </c>
      <c r="F8">
        <f t="shared" si="3"/>
        <v>3600</v>
      </c>
      <c r="G8">
        <f t="shared" si="5"/>
        <v>0.36799999999999999</v>
      </c>
      <c r="H8">
        <f t="shared" si="0"/>
        <v>5.1111111111111105E-4</v>
      </c>
      <c r="I8">
        <f t="shared" si="1"/>
        <v>5.1111111111111107E-2</v>
      </c>
      <c r="J8">
        <v>3896</v>
      </c>
      <c r="K8" s="2">
        <v>500000000000</v>
      </c>
      <c r="L8">
        <v>3896</v>
      </c>
      <c r="M8">
        <v>0</v>
      </c>
      <c r="N8" s="2">
        <v>-380000000000</v>
      </c>
      <c r="O8" s="2">
        <v>-850000000000</v>
      </c>
      <c r="P8">
        <f t="shared" si="2"/>
        <v>14.579055441478438</v>
      </c>
    </row>
    <row r="9" spans="1:16" x14ac:dyDescent="0.2">
      <c r="A9">
        <v>30</v>
      </c>
      <c r="B9">
        <v>25</v>
      </c>
      <c r="C9">
        <v>13.99</v>
      </c>
      <c r="D9">
        <v>8540</v>
      </c>
      <c r="E9">
        <f t="shared" si="4"/>
        <v>2.83</v>
      </c>
      <c r="F9">
        <f t="shared" si="3"/>
        <v>4320</v>
      </c>
      <c r="G9">
        <f t="shared" si="5"/>
        <v>0.56600000000000006</v>
      </c>
      <c r="H9">
        <f t="shared" si="0"/>
        <v>6.5509259259259264E-4</v>
      </c>
      <c r="I9">
        <f t="shared" si="1"/>
        <v>6.5509259259259267E-2</v>
      </c>
      <c r="J9">
        <v>3896</v>
      </c>
      <c r="K9" s="2">
        <v>500000000000</v>
      </c>
      <c r="L9">
        <v>3896</v>
      </c>
      <c r="M9">
        <v>0</v>
      </c>
      <c r="N9" s="2">
        <v>-380000000000</v>
      </c>
      <c r="O9" s="2">
        <v>-850000000000</v>
      </c>
      <c r="P9">
        <f t="shared" si="2"/>
        <v>14.579055441478438</v>
      </c>
    </row>
    <row r="10" spans="1:16" x14ac:dyDescent="0.2">
      <c r="A10">
        <v>35</v>
      </c>
      <c r="B10">
        <v>25</v>
      </c>
      <c r="C10">
        <v>17.940000000000001</v>
      </c>
      <c r="D10">
        <v>8520</v>
      </c>
      <c r="E10">
        <f t="shared" si="4"/>
        <v>3.9500000000000011</v>
      </c>
      <c r="F10">
        <f t="shared" si="3"/>
        <v>5040</v>
      </c>
      <c r="G10">
        <f t="shared" si="5"/>
        <v>0.79000000000000026</v>
      </c>
      <c r="H10">
        <f t="shared" si="0"/>
        <v>7.8373015873015896E-4</v>
      </c>
      <c r="I10">
        <f t="shared" si="1"/>
        <v>7.83730158730159E-2</v>
      </c>
      <c r="J10">
        <v>3896</v>
      </c>
      <c r="K10" s="2">
        <v>500000000000</v>
      </c>
      <c r="L10">
        <v>3896</v>
      </c>
      <c r="M10">
        <v>0</v>
      </c>
      <c r="N10" s="2">
        <v>-380000000000</v>
      </c>
      <c r="O10" s="2">
        <v>-850000000000</v>
      </c>
      <c r="P10">
        <f t="shared" si="2"/>
        <v>14.579055441478438</v>
      </c>
    </row>
    <row r="11" spans="1:16" x14ac:dyDescent="0.2">
      <c r="A11">
        <v>40</v>
      </c>
      <c r="B11">
        <v>25</v>
      </c>
      <c r="C11">
        <v>25.1</v>
      </c>
      <c r="D11">
        <v>8500</v>
      </c>
      <c r="E11">
        <f t="shared" si="4"/>
        <v>7.16</v>
      </c>
      <c r="F11">
        <f t="shared" si="3"/>
        <v>5760</v>
      </c>
      <c r="G11">
        <f t="shared" si="5"/>
        <v>1.4319999999999999</v>
      </c>
      <c r="H11">
        <f t="shared" si="0"/>
        <v>1.2430555555555556E-3</v>
      </c>
      <c r="I11">
        <f t="shared" si="1"/>
        <v>0.12430555555555556</v>
      </c>
      <c r="J11">
        <v>3896</v>
      </c>
      <c r="K11" s="2">
        <v>500000000000</v>
      </c>
      <c r="L11">
        <v>3896</v>
      </c>
      <c r="M11">
        <v>0</v>
      </c>
      <c r="N11" s="2">
        <v>-380000000000</v>
      </c>
      <c r="O11" s="2">
        <v>-850000000000</v>
      </c>
      <c r="P11">
        <f t="shared" si="2"/>
        <v>14.579055441478438</v>
      </c>
    </row>
    <row r="12" spans="1:16" x14ac:dyDescent="0.2">
      <c r="A12">
        <v>45</v>
      </c>
      <c r="B12">
        <v>25</v>
      </c>
      <c r="C12">
        <v>35.1</v>
      </c>
      <c r="D12">
        <v>8480</v>
      </c>
      <c r="E12">
        <f t="shared" si="4"/>
        <v>10</v>
      </c>
      <c r="F12">
        <f t="shared" si="3"/>
        <v>6480</v>
      </c>
      <c r="G12">
        <f t="shared" si="5"/>
        <v>2</v>
      </c>
      <c r="H12">
        <f t="shared" si="0"/>
        <v>1.5432098765432098E-3</v>
      </c>
      <c r="I12">
        <f t="shared" si="1"/>
        <v>0.15432098765432098</v>
      </c>
      <c r="J12">
        <v>3896</v>
      </c>
      <c r="K12" s="2">
        <v>500000000000</v>
      </c>
      <c r="L12">
        <v>3896</v>
      </c>
      <c r="M12">
        <v>0</v>
      </c>
      <c r="N12" s="2">
        <v>-380000000000</v>
      </c>
      <c r="O12" s="2">
        <v>-850000000000</v>
      </c>
      <c r="P12">
        <f t="shared" si="2"/>
        <v>14.579055441478438</v>
      </c>
    </row>
    <row r="13" spans="1:16" x14ac:dyDescent="0.2">
      <c r="A13">
        <v>50</v>
      </c>
      <c r="B13">
        <v>25</v>
      </c>
      <c r="C13">
        <v>50.56</v>
      </c>
      <c r="D13">
        <v>8460</v>
      </c>
      <c r="E13">
        <f t="shared" si="4"/>
        <v>15.46</v>
      </c>
      <c r="F13">
        <f t="shared" si="3"/>
        <v>7200</v>
      </c>
      <c r="G13">
        <f t="shared" si="5"/>
        <v>3.0920000000000001</v>
      </c>
      <c r="H13">
        <f t="shared" si="0"/>
        <v>2.1472222222222222E-3</v>
      </c>
      <c r="I13">
        <f t="shared" si="1"/>
        <v>0.21472222222222223</v>
      </c>
      <c r="J13">
        <v>3896</v>
      </c>
      <c r="K13" s="2">
        <v>500000000000</v>
      </c>
      <c r="L13">
        <v>3896</v>
      </c>
      <c r="M13">
        <v>0</v>
      </c>
      <c r="N13" s="2">
        <v>-380000000000</v>
      </c>
      <c r="O13" s="2">
        <v>-850000000000</v>
      </c>
      <c r="P13">
        <f t="shared" si="2"/>
        <v>14.579055441478438</v>
      </c>
    </row>
    <row r="14" spans="1:16" x14ac:dyDescent="0.2">
      <c r="A14">
        <v>55</v>
      </c>
      <c r="B14">
        <v>25</v>
      </c>
      <c r="C14">
        <v>70.5</v>
      </c>
      <c r="D14">
        <v>8460</v>
      </c>
      <c r="E14">
        <f t="shared" si="4"/>
        <v>19.939999999999998</v>
      </c>
      <c r="F14">
        <f t="shared" si="3"/>
        <v>7920</v>
      </c>
      <c r="G14">
        <f t="shared" si="5"/>
        <v>3.9879999999999995</v>
      </c>
      <c r="H14">
        <f t="shared" si="0"/>
        <v>2.5176767676767676E-3</v>
      </c>
      <c r="I14">
        <f t="shared" si="1"/>
        <v>0.25176767676767675</v>
      </c>
      <c r="J14">
        <v>3896</v>
      </c>
      <c r="K14" s="2">
        <v>500000000000</v>
      </c>
      <c r="L14">
        <v>3896</v>
      </c>
      <c r="M14">
        <v>0</v>
      </c>
      <c r="N14" s="2">
        <v>-380000000000</v>
      </c>
      <c r="O14" s="2">
        <v>-850000000000</v>
      </c>
      <c r="P14">
        <f t="shared" si="2"/>
        <v>14.579055441478438</v>
      </c>
    </row>
    <row r="15" spans="1:16" x14ac:dyDescent="0.2">
      <c r="A15">
        <v>45</v>
      </c>
      <c r="B15">
        <v>25</v>
      </c>
      <c r="C15">
        <v>31.4</v>
      </c>
      <c r="D15">
        <v>8460</v>
      </c>
      <c r="E15">
        <f t="shared" si="4"/>
        <v>-39.1</v>
      </c>
      <c r="F15">
        <f t="shared" si="3"/>
        <v>6480</v>
      </c>
      <c r="G15">
        <f t="shared" si="5"/>
        <v>3.91</v>
      </c>
      <c r="H15">
        <f t="shared" si="0"/>
        <v>-6.0339506172839511E-3</v>
      </c>
      <c r="I15">
        <f t="shared" si="1"/>
        <v>-0.60339506172839508</v>
      </c>
      <c r="J15">
        <v>3896</v>
      </c>
      <c r="K15" s="2">
        <v>500000000000</v>
      </c>
      <c r="L15">
        <v>3896</v>
      </c>
      <c r="M15">
        <v>0</v>
      </c>
      <c r="N15" s="2">
        <v>-380000000000</v>
      </c>
      <c r="O15" s="2">
        <v>-850000000000</v>
      </c>
      <c r="P15">
        <f t="shared" si="2"/>
        <v>14.579055441478438</v>
      </c>
    </row>
    <row r="16" spans="1:16" x14ac:dyDescent="0.2">
      <c r="A16">
        <v>50</v>
      </c>
      <c r="B16">
        <v>25</v>
      </c>
      <c r="C16">
        <v>35.1</v>
      </c>
      <c r="D16">
        <v>8460</v>
      </c>
      <c r="E16">
        <f t="shared" si="4"/>
        <v>3.7000000000000028</v>
      </c>
      <c r="F16">
        <f t="shared" si="3"/>
        <v>7200</v>
      </c>
      <c r="G16">
        <f t="shared" si="5"/>
        <v>0.74000000000000055</v>
      </c>
      <c r="H16">
        <f t="shared" si="0"/>
        <v>5.1388888888888925E-4</v>
      </c>
      <c r="I16">
        <f t="shared" si="1"/>
        <v>5.1388888888888928E-2</v>
      </c>
      <c r="J16">
        <v>3896</v>
      </c>
      <c r="K16" s="2">
        <v>500000000000</v>
      </c>
      <c r="L16">
        <v>3896</v>
      </c>
      <c r="M16">
        <v>0</v>
      </c>
      <c r="N16" s="2">
        <v>-380000000000</v>
      </c>
      <c r="O16" s="2">
        <v>-850000000000</v>
      </c>
      <c r="P16">
        <f t="shared" si="2"/>
        <v>14.579055441478438</v>
      </c>
    </row>
    <row r="17" spans="1:16" x14ac:dyDescent="0.2">
      <c r="A17">
        <v>55</v>
      </c>
      <c r="B17">
        <v>25</v>
      </c>
      <c r="C17">
        <v>43.6</v>
      </c>
      <c r="D17">
        <v>8460</v>
      </c>
      <c r="E17">
        <f t="shared" si="4"/>
        <v>8.5</v>
      </c>
      <c r="F17">
        <f t="shared" si="3"/>
        <v>7920</v>
      </c>
      <c r="G17">
        <f t="shared" si="5"/>
        <v>1.7</v>
      </c>
      <c r="H17">
        <f t="shared" si="0"/>
        <v>1.0732323232323232E-3</v>
      </c>
      <c r="I17">
        <f t="shared" si="1"/>
        <v>0.10732323232323232</v>
      </c>
      <c r="J17">
        <v>3896</v>
      </c>
      <c r="K17" s="2">
        <v>500000000000</v>
      </c>
      <c r="L17">
        <v>3896</v>
      </c>
      <c r="M17">
        <v>0</v>
      </c>
      <c r="N17" s="2">
        <v>-380000000000</v>
      </c>
      <c r="O17" s="2">
        <v>-850000000000</v>
      </c>
      <c r="P17">
        <f t="shared" si="2"/>
        <v>14.579055441478438</v>
      </c>
    </row>
    <row r="18" spans="1:16" x14ac:dyDescent="0.2">
      <c r="A18">
        <v>60</v>
      </c>
      <c r="B18">
        <v>25</v>
      </c>
      <c r="C18">
        <v>54.5</v>
      </c>
      <c r="D18">
        <v>8460</v>
      </c>
      <c r="E18">
        <f t="shared" si="4"/>
        <v>10.899999999999999</v>
      </c>
      <c r="F18">
        <f t="shared" si="3"/>
        <v>8640</v>
      </c>
      <c r="G18">
        <f t="shared" si="5"/>
        <v>2.1799999999999997</v>
      </c>
      <c r="H18">
        <f t="shared" si="0"/>
        <v>1.2615740740740738E-3</v>
      </c>
      <c r="I18">
        <f t="shared" si="1"/>
        <v>0.12615740740740738</v>
      </c>
      <c r="J18">
        <v>3896</v>
      </c>
      <c r="K18" s="2">
        <v>500000000000</v>
      </c>
      <c r="L18">
        <v>3896</v>
      </c>
      <c r="M18">
        <v>0</v>
      </c>
      <c r="N18" s="2">
        <v>-380000000000</v>
      </c>
      <c r="O18" s="2">
        <v>-850000000000</v>
      </c>
      <c r="P18">
        <f t="shared" si="2"/>
        <v>14.579055441478438</v>
      </c>
    </row>
    <row r="19" spans="1:16" x14ac:dyDescent="0.2">
      <c r="A19">
        <v>65</v>
      </c>
      <c r="B19">
        <v>25</v>
      </c>
      <c r="C19">
        <v>71.8</v>
      </c>
      <c r="D19">
        <v>8460</v>
      </c>
      <c r="E19">
        <f t="shared" si="4"/>
        <v>17.299999999999997</v>
      </c>
      <c r="F19">
        <f t="shared" si="3"/>
        <v>9360</v>
      </c>
      <c r="G19">
        <f t="shared" si="5"/>
        <v>3.4599999999999995</v>
      </c>
      <c r="H19">
        <f t="shared" si="0"/>
        <v>1.8482905982905979E-3</v>
      </c>
      <c r="I19">
        <f t="shared" si="1"/>
        <v>0.18482905982905978</v>
      </c>
      <c r="J19">
        <v>3896</v>
      </c>
      <c r="K19" s="2">
        <v>500000000000</v>
      </c>
      <c r="L19">
        <v>3896</v>
      </c>
      <c r="M19">
        <v>0</v>
      </c>
      <c r="N19" s="2">
        <v>-380000000000</v>
      </c>
      <c r="O19" s="2">
        <v>-850000000000</v>
      </c>
      <c r="P19">
        <f t="shared" si="2"/>
        <v>14.579055441478438</v>
      </c>
    </row>
    <row r="20" spans="1:16" x14ac:dyDescent="0.2">
      <c r="A20">
        <v>70</v>
      </c>
      <c r="B20">
        <v>25</v>
      </c>
      <c r="C20">
        <v>104</v>
      </c>
      <c r="D20">
        <v>8460</v>
      </c>
      <c r="E20">
        <f t="shared" si="4"/>
        <v>32.200000000000003</v>
      </c>
      <c r="F20">
        <f t="shared" si="3"/>
        <v>10080</v>
      </c>
      <c r="G20">
        <f t="shared" si="5"/>
        <v>6.44</v>
      </c>
      <c r="H20">
        <f t="shared" si="0"/>
        <v>3.1944444444444446E-3</v>
      </c>
      <c r="I20">
        <f t="shared" si="1"/>
        <v>0.31944444444444448</v>
      </c>
      <c r="J20">
        <v>3896</v>
      </c>
      <c r="K20" s="2">
        <v>500000000000</v>
      </c>
      <c r="L20">
        <v>3896</v>
      </c>
      <c r="M20">
        <v>0</v>
      </c>
      <c r="N20" s="2">
        <v>-380000000000</v>
      </c>
      <c r="O20" s="2">
        <v>-850000000000</v>
      </c>
      <c r="P20">
        <f t="shared" si="2"/>
        <v>14.579055441478438</v>
      </c>
    </row>
    <row r="21" spans="1:16" x14ac:dyDescent="0.2">
      <c r="A21">
        <v>75</v>
      </c>
      <c r="B21">
        <v>25</v>
      </c>
      <c r="C21">
        <v>162</v>
      </c>
      <c r="D21">
        <v>8460</v>
      </c>
      <c r="E21">
        <f t="shared" si="4"/>
        <v>58</v>
      </c>
      <c r="F21">
        <f t="shared" si="3"/>
        <v>10800</v>
      </c>
      <c r="G21">
        <f t="shared" si="5"/>
        <v>11.6</v>
      </c>
      <c r="H21">
        <f t="shared" si="0"/>
        <v>5.37037037037037E-3</v>
      </c>
      <c r="I21">
        <f t="shared" si="1"/>
        <v>0.53703703703703698</v>
      </c>
      <c r="J21">
        <v>3896</v>
      </c>
      <c r="K21" s="2">
        <v>500000000000</v>
      </c>
      <c r="L21">
        <v>3896</v>
      </c>
      <c r="M21">
        <v>0</v>
      </c>
      <c r="N21" s="2">
        <v>-380000000000</v>
      </c>
      <c r="O21" s="2">
        <v>-850000000000</v>
      </c>
      <c r="P21">
        <f t="shared" si="2"/>
        <v>14.579055441478438</v>
      </c>
    </row>
    <row r="22" spans="1:16" x14ac:dyDescent="0.2">
      <c r="A22">
        <v>80</v>
      </c>
      <c r="B22">
        <v>25</v>
      </c>
      <c r="C22">
        <v>262</v>
      </c>
      <c r="D22">
        <v>8560</v>
      </c>
      <c r="E22">
        <f t="shared" si="4"/>
        <v>100</v>
      </c>
      <c r="F22">
        <f t="shared" si="3"/>
        <v>11520</v>
      </c>
      <c r="G22">
        <f t="shared" si="5"/>
        <v>20</v>
      </c>
      <c r="H22">
        <f t="shared" si="0"/>
        <v>8.6805555555555559E-3</v>
      </c>
      <c r="I22">
        <f t="shared" si="1"/>
        <v>0.86805555555555558</v>
      </c>
      <c r="J22">
        <v>3896</v>
      </c>
      <c r="K22" s="2">
        <v>500000000000</v>
      </c>
      <c r="L22">
        <v>3896</v>
      </c>
      <c r="M22">
        <v>0</v>
      </c>
      <c r="N22" s="2">
        <v>-380000000000</v>
      </c>
      <c r="O22" s="2">
        <v>-850000000000</v>
      </c>
      <c r="P22">
        <f t="shared" si="2"/>
        <v>14.579055441478438</v>
      </c>
    </row>
    <row r="23" spans="1:16" x14ac:dyDescent="0.2">
      <c r="A23">
        <v>85</v>
      </c>
      <c r="B23">
        <v>25</v>
      </c>
      <c r="C23">
        <v>407</v>
      </c>
      <c r="D23">
        <v>8560</v>
      </c>
      <c r="E23">
        <f t="shared" si="4"/>
        <v>145</v>
      </c>
      <c r="F23">
        <f t="shared" si="3"/>
        <v>12240</v>
      </c>
      <c r="G23">
        <f t="shared" si="5"/>
        <v>29</v>
      </c>
      <c r="H23">
        <f t="shared" si="0"/>
        <v>1.1846405228758169E-2</v>
      </c>
      <c r="I23">
        <f t="shared" si="1"/>
        <v>1.184640522875817</v>
      </c>
      <c r="J23">
        <v>3896</v>
      </c>
      <c r="K23" s="2">
        <v>500000000000</v>
      </c>
      <c r="L23">
        <v>3896</v>
      </c>
      <c r="M23">
        <v>0</v>
      </c>
      <c r="N23" s="2">
        <v>-380000000000</v>
      </c>
      <c r="O23" s="2">
        <v>-850000000000</v>
      </c>
      <c r="P23">
        <f t="shared" si="2"/>
        <v>14.579055441478438</v>
      </c>
    </row>
    <row r="24" spans="1:16" x14ac:dyDescent="0.2">
      <c r="A24">
        <v>90</v>
      </c>
      <c r="B24">
        <v>25</v>
      </c>
      <c r="C24">
        <v>574</v>
      </c>
      <c r="D24">
        <v>8600</v>
      </c>
      <c r="E24">
        <f t="shared" si="4"/>
        <v>167</v>
      </c>
      <c r="F24">
        <f t="shared" si="3"/>
        <v>12960</v>
      </c>
      <c r="G24">
        <f t="shared" si="5"/>
        <v>33.4</v>
      </c>
      <c r="H24">
        <f t="shared" si="0"/>
        <v>1.2885802469135803E-2</v>
      </c>
      <c r="I24">
        <f t="shared" si="1"/>
        <v>1.2885802469135803</v>
      </c>
      <c r="J24">
        <v>3896</v>
      </c>
      <c r="K24" s="2">
        <v>500000000000</v>
      </c>
      <c r="L24">
        <v>3896</v>
      </c>
      <c r="M24">
        <v>0</v>
      </c>
      <c r="N24" s="2">
        <v>-380000000000</v>
      </c>
      <c r="O24" s="2">
        <v>-850000000000</v>
      </c>
      <c r="P24">
        <f t="shared" si="2"/>
        <v>14.579055441478438</v>
      </c>
    </row>
    <row r="25" spans="1:16" x14ac:dyDescent="0.2">
      <c r="A25">
        <v>95</v>
      </c>
      <c r="B25">
        <v>25</v>
      </c>
      <c r="C25">
        <v>768</v>
      </c>
      <c r="D25">
        <v>8600</v>
      </c>
      <c r="E25">
        <f t="shared" si="4"/>
        <v>194</v>
      </c>
      <c r="F25">
        <f t="shared" si="3"/>
        <v>13680</v>
      </c>
      <c r="G25">
        <f t="shared" si="5"/>
        <v>38.799999999999997</v>
      </c>
      <c r="H25">
        <f t="shared" si="0"/>
        <v>1.4181286549707602E-2</v>
      </c>
      <c r="I25">
        <f t="shared" si="1"/>
        <v>1.4181286549707601</v>
      </c>
      <c r="J25">
        <v>3896</v>
      </c>
      <c r="K25" s="2">
        <v>500000000000</v>
      </c>
      <c r="L25">
        <v>3896</v>
      </c>
      <c r="M25">
        <v>0</v>
      </c>
      <c r="N25" s="2">
        <v>-380000000000</v>
      </c>
      <c r="O25" s="2">
        <v>-850000000000</v>
      </c>
      <c r="P25">
        <f t="shared" si="2"/>
        <v>14.579055441478438</v>
      </c>
    </row>
    <row r="26" spans="1:16" x14ac:dyDescent="0.2">
      <c r="A26">
        <v>100</v>
      </c>
      <c r="B26">
        <v>25</v>
      </c>
      <c r="C26">
        <v>969</v>
      </c>
      <c r="D26">
        <v>8600</v>
      </c>
      <c r="E26">
        <f t="shared" si="4"/>
        <v>201</v>
      </c>
      <c r="F26">
        <f t="shared" si="3"/>
        <v>14400</v>
      </c>
      <c r="G26">
        <f t="shared" si="5"/>
        <v>40.200000000000003</v>
      </c>
      <c r="H26">
        <f t="shared" si="0"/>
        <v>1.3958333333333333E-2</v>
      </c>
      <c r="I26">
        <f t="shared" si="1"/>
        <v>1.3958333333333333</v>
      </c>
      <c r="J26">
        <v>3896</v>
      </c>
      <c r="K26" s="2">
        <v>500000000000</v>
      </c>
      <c r="L26">
        <v>3896</v>
      </c>
      <c r="M26">
        <v>0</v>
      </c>
      <c r="N26" s="2">
        <v>-380000000000</v>
      </c>
      <c r="O26" s="2">
        <v>-850000000000</v>
      </c>
      <c r="P26">
        <f t="shared" si="2"/>
        <v>14.579055441478438</v>
      </c>
    </row>
    <row r="27" spans="1:16" x14ac:dyDescent="0.2">
      <c r="A27">
        <v>105</v>
      </c>
      <c r="B27">
        <v>25</v>
      </c>
      <c r="C27">
        <v>1160</v>
      </c>
      <c r="D27">
        <v>8600</v>
      </c>
      <c r="E27">
        <f t="shared" si="4"/>
        <v>191</v>
      </c>
      <c r="F27">
        <f t="shared" si="3"/>
        <v>15120</v>
      </c>
      <c r="G27">
        <f t="shared" si="5"/>
        <v>38.200000000000003</v>
      </c>
      <c r="H27">
        <f t="shared" si="0"/>
        <v>1.2632275132275132E-2</v>
      </c>
      <c r="I27">
        <f t="shared" si="1"/>
        <v>1.2632275132275133</v>
      </c>
      <c r="J27">
        <v>3896</v>
      </c>
      <c r="K27" s="2">
        <v>500000000000</v>
      </c>
      <c r="L27">
        <v>3896</v>
      </c>
      <c r="M27">
        <v>0</v>
      </c>
      <c r="N27" s="2">
        <v>-380000000000</v>
      </c>
      <c r="O27" s="2">
        <v>-850000000000</v>
      </c>
      <c r="P27">
        <f t="shared" si="2"/>
        <v>14.579055441478438</v>
      </c>
    </row>
    <row r="28" spans="1:16" x14ac:dyDescent="0.2">
      <c r="A28">
        <v>110</v>
      </c>
      <c r="B28">
        <v>25</v>
      </c>
      <c r="C28">
        <v>1350</v>
      </c>
      <c r="D28">
        <v>8600</v>
      </c>
      <c r="E28">
        <f t="shared" si="4"/>
        <v>190</v>
      </c>
      <c r="F28">
        <f t="shared" si="3"/>
        <v>15840</v>
      </c>
      <c r="G28">
        <f t="shared" si="5"/>
        <v>38</v>
      </c>
      <c r="H28">
        <f t="shared" si="0"/>
        <v>1.1994949494949494E-2</v>
      </c>
      <c r="I28">
        <f t="shared" si="1"/>
        <v>1.1994949494949494</v>
      </c>
      <c r="J28">
        <v>3896</v>
      </c>
      <c r="K28" s="2">
        <v>500000000000</v>
      </c>
      <c r="L28">
        <v>3896</v>
      </c>
      <c r="M28">
        <v>0</v>
      </c>
      <c r="N28" s="2">
        <v>-380000000000</v>
      </c>
      <c r="O28" s="2">
        <v>-850000000000</v>
      </c>
      <c r="P28">
        <f t="shared" si="2"/>
        <v>14.579055441478438</v>
      </c>
    </row>
    <row r="29" spans="1:16" x14ac:dyDescent="0.2">
      <c r="A29">
        <v>115</v>
      </c>
      <c r="B29">
        <v>25</v>
      </c>
      <c r="C29">
        <v>1530</v>
      </c>
      <c r="D29">
        <v>8600</v>
      </c>
      <c r="E29">
        <f t="shared" si="4"/>
        <v>180</v>
      </c>
      <c r="F29">
        <f t="shared" si="3"/>
        <v>16560</v>
      </c>
      <c r="G29">
        <f t="shared" si="5"/>
        <v>36</v>
      </c>
      <c r="H29">
        <f t="shared" si="0"/>
        <v>1.0869565217391304E-2</v>
      </c>
      <c r="I29">
        <f t="shared" si="1"/>
        <v>1.0869565217391304</v>
      </c>
      <c r="J29">
        <v>3896</v>
      </c>
      <c r="K29" s="2">
        <v>500000000000</v>
      </c>
      <c r="L29">
        <v>3896</v>
      </c>
      <c r="M29">
        <v>0</v>
      </c>
      <c r="N29" s="2">
        <v>-380000000000</v>
      </c>
      <c r="O29" s="2">
        <v>-850000000000</v>
      </c>
      <c r="P29">
        <f t="shared" si="2"/>
        <v>14.579055441478438</v>
      </c>
    </row>
    <row r="30" spans="1:16" x14ac:dyDescent="0.2">
      <c r="A30">
        <v>125</v>
      </c>
      <c r="B30">
        <v>25</v>
      </c>
      <c r="C30">
        <v>1836</v>
      </c>
      <c r="D30">
        <v>8600</v>
      </c>
      <c r="E30">
        <f t="shared" si="4"/>
        <v>306</v>
      </c>
      <c r="F30">
        <f t="shared" si="3"/>
        <v>18000</v>
      </c>
      <c r="G30">
        <f t="shared" si="5"/>
        <v>30.6</v>
      </c>
      <c r="H30">
        <f t="shared" si="0"/>
        <v>1.7000000000000001E-2</v>
      </c>
      <c r="I30">
        <f t="shared" si="1"/>
        <v>1.7000000000000002</v>
      </c>
      <c r="J30">
        <v>3896</v>
      </c>
      <c r="K30" s="2">
        <v>500000000000</v>
      </c>
      <c r="L30">
        <v>3896</v>
      </c>
      <c r="M30">
        <v>0</v>
      </c>
      <c r="N30" s="2">
        <v>-380000000000</v>
      </c>
      <c r="O30" s="2">
        <v>-850000000000</v>
      </c>
      <c r="P30">
        <f t="shared" si="2"/>
        <v>14.579055441478438</v>
      </c>
    </row>
    <row r="31" spans="1:16" x14ac:dyDescent="0.2">
      <c r="A31">
        <v>130</v>
      </c>
      <c r="B31">
        <v>25</v>
      </c>
      <c r="C31">
        <v>1971</v>
      </c>
      <c r="D31">
        <v>8600</v>
      </c>
      <c r="E31">
        <f t="shared" si="4"/>
        <v>135</v>
      </c>
      <c r="F31">
        <f t="shared" si="3"/>
        <v>18720</v>
      </c>
      <c r="G31">
        <f t="shared" si="5"/>
        <v>27</v>
      </c>
      <c r="H31">
        <f t="shared" si="0"/>
        <v>7.2115384615384619E-3</v>
      </c>
      <c r="I31">
        <f t="shared" si="1"/>
        <v>0.72115384615384615</v>
      </c>
      <c r="J31">
        <v>3896</v>
      </c>
      <c r="K31" s="2">
        <v>500000000000</v>
      </c>
      <c r="L31">
        <v>3896</v>
      </c>
      <c r="M31">
        <v>0</v>
      </c>
      <c r="N31" s="2">
        <v>-380000000000</v>
      </c>
      <c r="O31" s="2">
        <v>-850000000000</v>
      </c>
      <c r="P31">
        <f t="shared" si="2"/>
        <v>14.579055441478438</v>
      </c>
    </row>
    <row r="32" spans="1:16" x14ac:dyDescent="0.2">
      <c r="A32">
        <v>145</v>
      </c>
      <c r="B32">
        <v>25</v>
      </c>
      <c r="C32">
        <v>2313</v>
      </c>
      <c r="D32">
        <v>8600</v>
      </c>
      <c r="E32">
        <f t="shared" si="4"/>
        <v>342</v>
      </c>
      <c r="F32">
        <f t="shared" si="3"/>
        <v>20880</v>
      </c>
      <c r="G32">
        <f t="shared" si="5"/>
        <v>22.8</v>
      </c>
      <c r="H32">
        <f t="shared" si="0"/>
        <v>1.6379310344827588E-2</v>
      </c>
      <c r="I32">
        <f t="shared" si="1"/>
        <v>1.6379310344827587</v>
      </c>
      <c r="J32">
        <v>3896</v>
      </c>
      <c r="K32" s="2">
        <v>500000000000</v>
      </c>
      <c r="L32">
        <v>3896</v>
      </c>
      <c r="M32">
        <v>0</v>
      </c>
      <c r="N32" s="2">
        <v>-380000000000</v>
      </c>
      <c r="O32" s="2">
        <v>-850000000000</v>
      </c>
      <c r="P32">
        <f t="shared" si="2"/>
        <v>14.579055441478438</v>
      </c>
    </row>
    <row r="33" spans="1:16" x14ac:dyDescent="0.2">
      <c r="A33">
        <v>150</v>
      </c>
      <c r="B33">
        <v>25</v>
      </c>
      <c r="C33">
        <v>2414</v>
      </c>
      <c r="D33">
        <v>8600</v>
      </c>
      <c r="E33">
        <f t="shared" si="4"/>
        <v>101</v>
      </c>
      <c r="F33">
        <f t="shared" si="3"/>
        <v>21600</v>
      </c>
      <c r="G33">
        <f t="shared" si="5"/>
        <v>20.2</v>
      </c>
      <c r="H33">
        <f t="shared" si="0"/>
        <v>4.6759259259259263E-3</v>
      </c>
      <c r="I33">
        <f t="shared" si="1"/>
        <v>0.46759259259259262</v>
      </c>
      <c r="J33">
        <v>3896</v>
      </c>
      <c r="K33" s="2">
        <v>500000000000</v>
      </c>
      <c r="L33">
        <v>3896</v>
      </c>
      <c r="M33">
        <v>0</v>
      </c>
      <c r="N33" s="2">
        <v>-380000000000</v>
      </c>
      <c r="O33" s="2">
        <v>-850000000000</v>
      </c>
      <c r="P33">
        <f t="shared" si="2"/>
        <v>14.579055441478438</v>
      </c>
    </row>
    <row r="34" spans="1:16" x14ac:dyDescent="0.2">
      <c r="A34">
        <v>160</v>
      </c>
      <c r="B34">
        <v>25</v>
      </c>
      <c r="C34">
        <v>2614</v>
      </c>
      <c r="D34">
        <v>8600</v>
      </c>
      <c r="E34">
        <f t="shared" si="4"/>
        <v>200</v>
      </c>
      <c r="F34">
        <f t="shared" si="3"/>
        <v>23040</v>
      </c>
      <c r="G34">
        <f t="shared" si="5"/>
        <v>20</v>
      </c>
      <c r="H34">
        <f t="shared" si="0"/>
        <v>8.6805555555555559E-3</v>
      </c>
      <c r="I34">
        <f t="shared" si="1"/>
        <v>0.86805555555555558</v>
      </c>
      <c r="J34">
        <v>3896</v>
      </c>
      <c r="K34" s="2">
        <v>500000000000</v>
      </c>
      <c r="L34">
        <v>3896</v>
      </c>
      <c r="M34">
        <v>0</v>
      </c>
      <c r="N34" s="2">
        <v>-380000000000</v>
      </c>
      <c r="O34" s="2">
        <v>-850000000000</v>
      </c>
      <c r="P34">
        <f t="shared" si="2"/>
        <v>14.579055441478438</v>
      </c>
    </row>
    <row r="35" spans="1:16" x14ac:dyDescent="0.2">
      <c r="A35">
        <v>165</v>
      </c>
      <c r="B35">
        <v>25</v>
      </c>
      <c r="C35">
        <v>2724</v>
      </c>
      <c r="D35">
        <v>8600</v>
      </c>
      <c r="E35">
        <f t="shared" si="4"/>
        <v>110</v>
      </c>
      <c r="F35">
        <f t="shared" si="3"/>
        <v>23760</v>
      </c>
      <c r="G35">
        <f t="shared" si="5"/>
        <v>22</v>
      </c>
      <c r="H35">
        <f t="shared" si="0"/>
        <v>4.6296296296296294E-3</v>
      </c>
      <c r="I35">
        <f t="shared" si="1"/>
        <v>0.46296296296296291</v>
      </c>
      <c r="J35">
        <v>3896</v>
      </c>
      <c r="K35" s="2">
        <v>500000000000</v>
      </c>
      <c r="L35">
        <v>3896</v>
      </c>
      <c r="M35">
        <v>0</v>
      </c>
      <c r="N35" s="2">
        <v>-380000000000</v>
      </c>
      <c r="O35" s="2">
        <v>-850000000000</v>
      </c>
      <c r="P35">
        <f t="shared" si="2"/>
        <v>14.579055441478438</v>
      </c>
    </row>
    <row r="36" spans="1:16" x14ac:dyDescent="0.2">
      <c r="A36">
        <v>171</v>
      </c>
      <c r="B36">
        <v>25</v>
      </c>
      <c r="C36">
        <v>2870</v>
      </c>
      <c r="D36">
        <v>8840</v>
      </c>
      <c r="E36">
        <f>C36-C35</f>
        <v>146</v>
      </c>
      <c r="F36">
        <f>3600/B36*A36</f>
        <v>24624</v>
      </c>
      <c r="G36">
        <f>E36/(A36-A35)</f>
        <v>24.333333333333332</v>
      </c>
      <c r="H36">
        <f t="shared" si="0"/>
        <v>5.9291747888239113E-3</v>
      </c>
      <c r="I36">
        <f t="shared" si="1"/>
        <v>0.5929174788823911</v>
      </c>
      <c r="J36">
        <v>3896</v>
      </c>
      <c r="K36" s="2">
        <v>500000000000</v>
      </c>
      <c r="L36">
        <v>3896</v>
      </c>
      <c r="M36">
        <v>0</v>
      </c>
      <c r="N36" s="2">
        <v>-380000000000</v>
      </c>
      <c r="O36" s="2">
        <v>-850000000000</v>
      </c>
      <c r="P36">
        <f t="shared" si="2"/>
        <v>14.579055441478438</v>
      </c>
    </row>
    <row r="37" spans="1:16" x14ac:dyDescent="0.2">
      <c r="A37">
        <v>176</v>
      </c>
      <c r="B37">
        <v>25</v>
      </c>
      <c r="C37">
        <v>3014</v>
      </c>
      <c r="D37">
        <v>9080</v>
      </c>
      <c r="E37">
        <f>C37-C36</f>
        <v>144</v>
      </c>
      <c r="F37">
        <f>3600/B37*A37</f>
        <v>25344</v>
      </c>
      <c r="G37">
        <f>E37/(A37-A36)</f>
        <v>28.8</v>
      </c>
      <c r="H37">
        <f t="shared" si="0"/>
        <v>5.681818181818182E-3</v>
      </c>
      <c r="I37">
        <f t="shared" si="1"/>
        <v>0.56818181818181823</v>
      </c>
      <c r="J37">
        <v>3896</v>
      </c>
      <c r="K37" s="2">
        <v>500000000000</v>
      </c>
      <c r="L37">
        <v>3896</v>
      </c>
      <c r="M37">
        <v>0</v>
      </c>
      <c r="N37" s="2">
        <v>-380000000000</v>
      </c>
      <c r="O37" s="2">
        <v>-850000000000</v>
      </c>
      <c r="P37">
        <f t="shared" si="2"/>
        <v>14.579055441478438</v>
      </c>
    </row>
    <row r="38" spans="1:16" x14ac:dyDescent="0.2">
      <c r="A38">
        <v>186</v>
      </c>
      <c r="B38">
        <v>25</v>
      </c>
      <c r="C38">
        <v>3464</v>
      </c>
      <c r="D38">
        <v>9320</v>
      </c>
      <c r="E38">
        <f>C38-C37</f>
        <v>450</v>
      </c>
      <c r="F38">
        <f>3600/B38*A38</f>
        <v>26784</v>
      </c>
      <c r="G38">
        <f>E38/(A38-A37)</f>
        <v>45</v>
      </c>
      <c r="H38">
        <f t="shared" si="0"/>
        <v>1.6801075268817203E-2</v>
      </c>
      <c r="I38">
        <f t="shared" si="1"/>
        <v>1.6801075268817203</v>
      </c>
      <c r="J38">
        <v>3896</v>
      </c>
      <c r="K38" s="2">
        <v>500000000000</v>
      </c>
      <c r="L38">
        <v>3896</v>
      </c>
      <c r="M38">
        <v>0</v>
      </c>
      <c r="N38" s="2">
        <v>-380000000000</v>
      </c>
      <c r="O38" s="2">
        <v>-850000000000</v>
      </c>
      <c r="P38">
        <f t="shared" si="2"/>
        <v>14.579055441478438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04A9-CF07-924D-803D-9C16AB5DFC1E}">
  <dimension ref="A1:P31"/>
  <sheetViews>
    <sheetView topLeftCell="L4" workbookViewId="0">
      <selection activeCell="N33" sqref="N33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3</v>
      </c>
      <c r="B2">
        <v>40</v>
      </c>
      <c r="C2">
        <v>0.83</v>
      </c>
      <c r="D2">
        <v>8600</v>
      </c>
      <c r="E2" cm="1">
        <f t="array" aca="1" ref="E2" ca="1">E2:G297</f>
        <v>0</v>
      </c>
      <c r="F2" cm="1">
        <f t="array" aca="1" ref="F2" ca="1">F2:H317</f>
        <v>0</v>
      </c>
      <c r="G2">
        <v>0</v>
      </c>
      <c r="H2">
        <f ca="1">E2/(3600/B2*A2)</f>
        <v>0</v>
      </c>
      <c r="I2">
        <f ca="1">H2*100</f>
        <v>0</v>
      </c>
      <c r="J2">
        <v>3646</v>
      </c>
      <c r="K2" s="2">
        <v>500000000000</v>
      </c>
      <c r="L2">
        <f>3646-1108</f>
        <v>2538</v>
      </c>
      <c r="M2">
        <v>1108</v>
      </c>
      <c r="N2" s="2">
        <v>-15500000000000</v>
      </c>
      <c r="O2" s="2">
        <v>365000000000</v>
      </c>
      <c r="P2">
        <f>(411/3646)*100</f>
        <v>11.272627537026878</v>
      </c>
    </row>
    <row r="3" spans="1:16" x14ac:dyDescent="0.2">
      <c r="A3">
        <v>4</v>
      </c>
      <c r="B3">
        <v>40</v>
      </c>
      <c r="C3">
        <v>2.6</v>
      </c>
      <c r="D3">
        <v>8600</v>
      </c>
      <c r="E3">
        <f>C3-C2</f>
        <v>1.77</v>
      </c>
      <c r="F3">
        <f>3600/B3*A3</f>
        <v>360</v>
      </c>
      <c r="G3">
        <f>E3/A3</f>
        <v>0.4425</v>
      </c>
      <c r="H3">
        <f t="shared" ref="H3:H30" si="0">E3/(3600/B3*A3)</f>
        <v>4.9166666666666664E-3</v>
      </c>
      <c r="I3">
        <f t="shared" ref="I3:I30" si="1">H3*100</f>
        <v>0.49166666666666664</v>
      </c>
      <c r="J3">
        <v>3646</v>
      </c>
      <c r="K3" s="2">
        <v>500000000000</v>
      </c>
      <c r="L3">
        <f t="shared" ref="L3:L30" si="2">3646-1108</f>
        <v>2538</v>
      </c>
      <c r="M3">
        <v>1108</v>
      </c>
      <c r="N3" s="2">
        <v>-15500000000000</v>
      </c>
      <c r="O3" s="2">
        <v>365000000000</v>
      </c>
      <c r="P3">
        <f t="shared" ref="P3:P30" si="3">(411/3646)*100</f>
        <v>11.272627537026878</v>
      </c>
    </row>
    <row r="4" spans="1:16" x14ac:dyDescent="0.2">
      <c r="A4">
        <v>8</v>
      </c>
      <c r="B4">
        <v>40</v>
      </c>
      <c r="C4">
        <v>3.86</v>
      </c>
      <c r="D4">
        <v>8600</v>
      </c>
      <c r="E4">
        <f>C4-C3</f>
        <v>1.2599999999999998</v>
      </c>
      <c r="F4">
        <f>3600/B4*A4</f>
        <v>720</v>
      </c>
      <c r="G4">
        <f>E4/(A4-A3)</f>
        <v>0.31499999999999995</v>
      </c>
      <c r="H4">
        <f t="shared" si="0"/>
        <v>1.7499999999999996E-3</v>
      </c>
      <c r="I4">
        <f t="shared" si="1"/>
        <v>0.17499999999999996</v>
      </c>
      <c r="J4">
        <v>3646</v>
      </c>
      <c r="K4" s="2">
        <v>500000000000</v>
      </c>
      <c r="L4">
        <f t="shared" si="2"/>
        <v>2538</v>
      </c>
      <c r="M4">
        <v>1108</v>
      </c>
      <c r="N4" s="2">
        <v>-15500000000000</v>
      </c>
      <c r="O4" s="2">
        <v>365000000000</v>
      </c>
      <c r="P4">
        <f t="shared" si="3"/>
        <v>11.272627537026878</v>
      </c>
    </row>
    <row r="5" spans="1:16" x14ac:dyDescent="0.2">
      <c r="A5">
        <v>12</v>
      </c>
      <c r="B5">
        <v>40</v>
      </c>
      <c r="C5">
        <v>5.77</v>
      </c>
      <c r="D5">
        <v>8600</v>
      </c>
      <c r="E5">
        <f>C5-C4</f>
        <v>1.9099999999999997</v>
      </c>
      <c r="F5">
        <f t="shared" ref="F5:F30" si="4">3600/B5*A5</f>
        <v>1080</v>
      </c>
      <c r="G5">
        <f>E5/(A5-A4)</f>
        <v>0.47749999999999992</v>
      </c>
      <c r="H5">
        <f t="shared" si="0"/>
        <v>1.7685185185185182E-3</v>
      </c>
      <c r="I5">
        <f t="shared" si="1"/>
        <v>0.17685185185185182</v>
      </c>
      <c r="J5">
        <v>3646</v>
      </c>
      <c r="K5" s="2">
        <v>500000000000</v>
      </c>
      <c r="L5">
        <f t="shared" si="2"/>
        <v>2538</v>
      </c>
      <c r="M5">
        <v>1108</v>
      </c>
      <c r="N5" s="2">
        <v>-15500000000000</v>
      </c>
      <c r="O5" s="2">
        <v>365000000000</v>
      </c>
      <c r="P5">
        <f t="shared" si="3"/>
        <v>11.272627537026878</v>
      </c>
    </row>
    <row r="6" spans="1:16" x14ac:dyDescent="0.2">
      <c r="A6">
        <v>16</v>
      </c>
      <c r="B6">
        <v>40</v>
      </c>
      <c r="C6">
        <v>8.61</v>
      </c>
      <c r="D6">
        <v>8600</v>
      </c>
      <c r="E6">
        <f t="shared" ref="E6:E30" si="5">C6-C5</f>
        <v>2.84</v>
      </c>
      <c r="F6">
        <f t="shared" si="4"/>
        <v>1440</v>
      </c>
      <c r="G6">
        <f t="shared" ref="G6:G30" si="6">E6/(A6-A5)</f>
        <v>0.71</v>
      </c>
      <c r="H6">
        <f t="shared" si="0"/>
        <v>1.972222222222222E-3</v>
      </c>
      <c r="I6">
        <f t="shared" si="1"/>
        <v>0.19722222222222219</v>
      </c>
      <c r="J6">
        <v>3646</v>
      </c>
      <c r="K6" s="2">
        <v>500000000000</v>
      </c>
      <c r="L6">
        <f t="shared" si="2"/>
        <v>2538</v>
      </c>
      <c r="M6">
        <v>1108</v>
      </c>
      <c r="N6" s="2">
        <v>-15500000000000</v>
      </c>
      <c r="O6" s="2">
        <v>365000000000</v>
      </c>
      <c r="P6">
        <f t="shared" si="3"/>
        <v>11.272627537026878</v>
      </c>
    </row>
    <row r="7" spans="1:16" x14ac:dyDescent="0.2">
      <c r="A7">
        <v>20</v>
      </c>
      <c r="B7">
        <v>25</v>
      </c>
      <c r="C7">
        <v>11.04</v>
      </c>
      <c r="D7">
        <v>8580</v>
      </c>
      <c r="E7">
        <f t="shared" si="5"/>
        <v>2.4299999999999997</v>
      </c>
      <c r="F7">
        <f t="shared" si="4"/>
        <v>2880</v>
      </c>
      <c r="G7">
        <f t="shared" si="6"/>
        <v>0.60749999999999993</v>
      </c>
      <c r="H7">
        <f t="shared" si="0"/>
        <v>8.4374999999999988E-4</v>
      </c>
      <c r="I7">
        <f t="shared" si="1"/>
        <v>8.4374999999999992E-2</v>
      </c>
      <c r="J7">
        <v>3646</v>
      </c>
      <c r="K7" s="2">
        <v>500000000000</v>
      </c>
      <c r="L7">
        <f t="shared" si="2"/>
        <v>2538</v>
      </c>
      <c r="M7">
        <v>1108</v>
      </c>
      <c r="N7" s="2">
        <v>-15500000000000</v>
      </c>
      <c r="O7" s="2">
        <v>365000000000</v>
      </c>
      <c r="P7">
        <f t="shared" si="3"/>
        <v>11.272627537026878</v>
      </c>
    </row>
    <row r="8" spans="1:16" x14ac:dyDescent="0.2">
      <c r="A8">
        <v>25</v>
      </c>
      <c r="B8">
        <v>25</v>
      </c>
      <c r="C8">
        <v>17.07</v>
      </c>
      <c r="D8">
        <v>8560</v>
      </c>
      <c r="E8">
        <f t="shared" si="5"/>
        <v>6.0300000000000011</v>
      </c>
      <c r="F8">
        <f t="shared" si="4"/>
        <v>3600</v>
      </c>
      <c r="G8">
        <f t="shared" si="6"/>
        <v>1.2060000000000002</v>
      </c>
      <c r="H8">
        <f t="shared" si="0"/>
        <v>1.6750000000000003E-3</v>
      </c>
      <c r="I8">
        <f t="shared" si="1"/>
        <v>0.16750000000000004</v>
      </c>
      <c r="J8">
        <v>3646</v>
      </c>
      <c r="K8" s="2">
        <v>500000000000</v>
      </c>
      <c r="L8">
        <f t="shared" si="2"/>
        <v>2538</v>
      </c>
      <c r="M8">
        <v>1108</v>
      </c>
      <c r="N8" s="2">
        <v>-15500000000000</v>
      </c>
      <c r="O8" s="2">
        <v>365000000000</v>
      </c>
      <c r="P8">
        <f t="shared" si="3"/>
        <v>11.272627537026878</v>
      </c>
    </row>
    <row r="9" spans="1:16" x14ac:dyDescent="0.2">
      <c r="A9">
        <v>30</v>
      </c>
      <c r="B9">
        <v>25</v>
      </c>
      <c r="C9">
        <v>24.54</v>
      </c>
      <c r="D9">
        <v>8540</v>
      </c>
      <c r="E9">
        <f t="shared" si="5"/>
        <v>7.4699999999999989</v>
      </c>
      <c r="F9">
        <f t="shared" si="4"/>
        <v>4320</v>
      </c>
      <c r="G9">
        <f t="shared" si="6"/>
        <v>1.4939999999999998</v>
      </c>
      <c r="H9">
        <f t="shared" si="0"/>
        <v>1.7291666666666664E-3</v>
      </c>
      <c r="I9">
        <f t="shared" si="1"/>
        <v>0.17291666666666664</v>
      </c>
      <c r="J9">
        <v>3646</v>
      </c>
      <c r="K9" s="2">
        <v>500000000000</v>
      </c>
      <c r="L9">
        <f t="shared" si="2"/>
        <v>2538</v>
      </c>
      <c r="M9">
        <v>1108</v>
      </c>
      <c r="N9" s="2">
        <v>-15500000000000</v>
      </c>
      <c r="O9" s="2">
        <v>365000000000</v>
      </c>
      <c r="P9">
        <f t="shared" si="3"/>
        <v>11.272627537026878</v>
      </c>
    </row>
    <row r="10" spans="1:16" x14ac:dyDescent="0.2">
      <c r="A10">
        <v>35</v>
      </c>
      <c r="B10">
        <v>25</v>
      </c>
      <c r="C10">
        <v>35.83</v>
      </c>
      <c r="D10">
        <v>8520</v>
      </c>
      <c r="E10">
        <f t="shared" si="5"/>
        <v>11.29</v>
      </c>
      <c r="F10">
        <f t="shared" si="4"/>
        <v>5040</v>
      </c>
      <c r="G10">
        <f t="shared" si="6"/>
        <v>2.258</v>
      </c>
      <c r="H10">
        <f t="shared" si="0"/>
        <v>2.240079365079365E-3</v>
      </c>
      <c r="I10">
        <f t="shared" si="1"/>
        <v>0.22400793650793649</v>
      </c>
      <c r="J10">
        <v>3646</v>
      </c>
      <c r="K10" s="2">
        <v>500000000000</v>
      </c>
      <c r="L10">
        <f t="shared" si="2"/>
        <v>2538</v>
      </c>
      <c r="M10">
        <v>1108</v>
      </c>
      <c r="N10" s="2">
        <v>-15500000000000</v>
      </c>
      <c r="O10" s="2">
        <v>365000000000</v>
      </c>
      <c r="P10">
        <f t="shared" si="3"/>
        <v>11.272627537026878</v>
      </c>
    </row>
    <row r="11" spans="1:16" x14ac:dyDescent="0.2">
      <c r="A11">
        <v>40</v>
      </c>
      <c r="B11">
        <v>25</v>
      </c>
      <c r="C11">
        <v>53.86</v>
      </c>
      <c r="D11">
        <v>8500</v>
      </c>
      <c r="E11">
        <f t="shared" si="5"/>
        <v>18.03</v>
      </c>
      <c r="F11">
        <f t="shared" si="4"/>
        <v>5760</v>
      </c>
      <c r="G11">
        <f t="shared" si="6"/>
        <v>3.6060000000000003</v>
      </c>
      <c r="H11">
        <f t="shared" si="0"/>
        <v>3.1302083333333334E-3</v>
      </c>
      <c r="I11">
        <f t="shared" si="1"/>
        <v>0.31302083333333336</v>
      </c>
      <c r="J11">
        <v>3646</v>
      </c>
      <c r="K11" s="2">
        <v>500000000000</v>
      </c>
      <c r="L11">
        <f t="shared" si="2"/>
        <v>2538</v>
      </c>
      <c r="M11">
        <v>1108</v>
      </c>
      <c r="N11" s="2">
        <v>-15500000000000</v>
      </c>
      <c r="O11" s="2">
        <v>365000000000</v>
      </c>
      <c r="P11">
        <f t="shared" si="3"/>
        <v>11.272627537026878</v>
      </c>
    </row>
    <row r="12" spans="1:16" x14ac:dyDescent="0.2">
      <c r="A12">
        <v>45</v>
      </c>
      <c r="B12">
        <v>25</v>
      </c>
      <c r="C12">
        <v>83.85</v>
      </c>
      <c r="D12">
        <v>8480</v>
      </c>
      <c r="E12">
        <f t="shared" si="5"/>
        <v>29.989999999999995</v>
      </c>
      <c r="F12">
        <f t="shared" si="4"/>
        <v>6480</v>
      </c>
      <c r="G12">
        <f t="shared" si="6"/>
        <v>5.9979999999999993</v>
      </c>
      <c r="H12">
        <f t="shared" si="0"/>
        <v>4.6280864197530856E-3</v>
      </c>
      <c r="I12">
        <f t="shared" si="1"/>
        <v>0.46280864197530858</v>
      </c>
      <c r="J12">
        <v>3646</v>
      </c>
      <c r="K12" s="2">
        <v>500000000000</v>
      </c>
      <c r="L12">
        <f t="shared" si="2"/>
        <v>2538</v>
      </c>
      <c r="M12">
        <v>1108</v>
      </c>
      <c r="N12" s="2">
        <v>-15500000000000</v>
      </c>
      <c r="O12" s="2">
        <v>365000000000</v>
      </c>
      <c r="P12">
        <f t="shared" si="3"/>
        <v>11.272627537026878</v>
      </c>
    </row>
    <row r="13" spans="1:16" x14ac:dyDescent="0.2">
      <c r="A13">
        <v>50</v>
      </c>
      <c r="B13">
        <v>25</v>
      </c>
      <c r="C13">
        <v>130</v>
      </c>
      <c r="D13">
        <v>8460</v>
      </c>
      <c r="E13">
        <f t="shared" si="5"/>
        <v>46.150000000000006</v>
      </c>
      <c r="F13">
        <f t="shared" si="4"/>
        <v>7200</v>
      </c>
      <c r="G13">
        <f t="shared" si="6"/>
        <v>9.23</v>
      </c>
      <c r="H13">
        <f t="shared" si="0"/>
        <v>6.4097222222222229E-3</v>
      </c>
      <c r="I13">
        <f t="shared" si="1"/>
        <v>0.64097222222222228</v>
      </c>
      <c r="J13">
        <v>3646</v>
      </c>
      <c r="K13" s="2">
        <v>500000000000</v>
      </c>
      <c r="L13">
        <f t="shared" si="2"/>
        <v>2538</v>
      </c>
      <c r="M13">
        <v>1108</v>
      </c>
      <c r="N13" s="2">
        <v>-15500000000000</v>
      </c>
      <c r="O13" s="2">
        <v>365000000000</v>
      </c>
      <c r="P13">
        <f t="shared" si="3"/>
        <v>11.272627537026878</v>
      </c>
    </row>
    <row r="14" spans="1:16" x14ac:dyDescent="0.2">
      <c r="A14">
        <v>55</v>
      </c>
      <c r="B14">
        <v>25</v>
      </c>
      <c r="C14">
        <v>223</v>
      </c>
      <c r="D14">
        <v>8600</v>
      </c>
      <c r="E14">
        <f t="shared" si="5"/>
        <v>93</v>
      </c>
      <c r="F14">
        <f t="shared" si="4"/>
        <v>7920</v>
      </c>
      <c r="G14">
        <f t="shared" si="6"/>
        <v>18.600000000000001</v>
      </c>
      <c r="H14">
        <f t="shared" si="0"/>
        <v>1.1742424242424242E-2</v>
      </c>
      <c r="I14">
        <f t="shared" si="1"/>
        <v>1.1742424242424241</v>
      </c>
      <c r="J14">
        <v>3646</v>
      </c>
      <c r="K14" s="2">
        <v>500000000000</v>
      </c>
      <c r="L14">
        <f t="shared" si="2"/>
        <v>2538</v>
      </c>
      <c r="M14">
        <v>1108</v>
      </c>
      <c r="N14" s="2">
        <v>-15500000000000</v>
      </c>
      <c r="O14" s="2">
        <v>365000000000</v>
      </c>
      <c r="P14">
        <f t="shared" si="3"/>
        <v>11.272627537026878</v>
      </c>
    </row>
    <row r="15" spans="1:16" x14ac:dyDescent="0.2">
      <c r="A15">
        <v>60</v>
      </c>
      <c r="B15">
        <v>25</v>
      </c>
      <c r="C15">
        <v>330</v>
      </c>
      <c r="D15">
        <v>8600</v>
      </c>
      <c r="E15">
        <f t="shared" si="5"/>
        <v>107</v>
      </c>
      <c r="F15">
        <f t="shared" si="4"/>
        <v>8640</v>
      </c>
      <c r="G15">
        <f t="shared" si="6"/>
        <v>21.4</v>
      </c>
      <c r="H15">
        <f t="shared" si="0"/>
        <v>1.238425925925926E-2</v>
      </c>
      <c r="I15">
        <f t="shared" si="1"/>
        <v>1.238425925925926</v>
      </c>
      <c r="J15">
        <v>3646</v>
      </c>
      <c r="K15" s="2">
        <v>500000000000</v>
      </c>
      <c r="L15">
        <f t="shared" si="2"/>
        <v>2538</v>
      </c>
      <c r="M15">
        <v>1108</v>
      </c>
      <c r="N15" s="2">
        <v>-15500000000000</v>
      </c>
      <c r="O15" s="2">
        <v>365000000000</v>
      </c>
      <c r="P15">
        <f t="shared" si="3"/>
        <v>11.272627537026878</v>
      </c>
    </row>
    <row r="16" spans="1:16" x14ac:dyDescent="0.2">
      <c r="A16">
        <v>65</v>
      </c>
      <c r="B16">
        <v>25</v>
      </c>
      <c r="C16">
        <v>475</v>
      </c>
      <c r="D16">
        <v>8600</v>
      </c>
      <c r="E16">
        <f t="shared" si="5"/>
        <v>145</v>
      </c>
      <c r="F16">
        <f t="shared" si="4"/>
        <v>9360</v>
      </c>
      <c r="G16">
        <f t="shared" si="6"/>
        <v>29</v>
      </c>
      <c r="H16">
        <f t="shared" si="0"/>
        <v>1.5491452991452992E-2</v>
      </c>
      <c r="I16">
        <f t="shared" si="1"/>
        <v>1.5491452991452992</v>
      </c>
      <c r="J16">
        <v>3646</v>
      </c>
      <c r="K16" s="2">
        <v>500000000000</v>
      </c>
      <c r="L16">
        <f t="shared" si="2"/>
        <v>2538</v>
      </c>
      <c r="M16">
        <v>1108</v>
      </c>
      <c r="N16" s="2">
        <v>-15500000000000</v>
      </c>
      <c r="O16" s="2">
        <v>365000000000</v>
      </c>
      <c r="P16">
        <f t="shared" si="3"/>
        <v>11.272627537026878</v>
      </c>
    </row>
    <row r="17" spans="1:16" x14ac:dyDescent="0.2">
      <c r="A17">
        <v>70</v>
      </c>
      <c r="B17">
        <v>25</v>
      </c>
      <c r="C17">
        <v>640</v>
      </c>
      <c r="D17">
        <v>8600</v>
      </c>
      <c r="E17">
        <f t="shared" si="5"/>
        <v>165</v>
      </c>
      <c r="F17">
        <f t="shared" si="4"/>
        <v>10080</v>
      </c>
      <c r="G17">
        <f t="shared" si="6"/>
        <v>33</v>
      </c>
      <c r="H17">
        <f t="shared" si="0"/>
        <v>1.636904761904762E-2</v>
      </c>
      <c r="I17">
        <f t="shared" si="1"/>
        <v>1.6369047619047621</v>
      </c>
      <c r="J17">
        <v>3646</v>
      </c>
      <c r="K17" s="2">
        <v>500000000000</v>
      </c>
      <c r="L17">
        <f t="shared" si="2"/>
        <v>2538</v>
      </c>
      <c r="M17">
        <v>1108</v>
      </c>
      <c r="N17" s="2">
        <v>-15500000000000</v>
      </c>
      <c r="O17" s="2">
        <v>365000000000</v>
      </c>
      <c r="P17">
        <f t="shared" si="3"/>
        <v>11.272627537026878</v>
      </c>
    </row>
    <row r="18" spans="1:16" x14ac:dyDescent="0.2">
      <c r="A18">
        <v>75</v>
      </c>
      <c r="B18">
        <v>25</v>
      </c>
      <c r="C18">
        <v>825</v>
      </c>
      <c r="D18">
        <v>8600</v>
      </c>
      <c r="E18">
        <f t="shared" si="5"/>
        <v>185</v>
      </c>
      <c r="F18">
        <f t="shared" si="4"/>
        <v>10800</v>
      </c>
      <c r="G18">
        <f t="shared" si="6"/>
        <v>37</v>
      </c>
      <c r="H18">
        <f t="shared" si="0"/>
        <v>1.712962962962963E-2</v>
      </c>
      <c r="I18">
        <f t="shared" si="1"/>
        <v>1.712962962962963</v>
      </c>
      <c r="J18">
        <v>3646</v>
      </c>
      <c r="K18" s="2">
        <v>500000000000</v>
      </c>
      <c r="L18">
        <f t="shared" si="2"/>
        <v>2538</v>
      </c>
      <c r="M18">
        <v>1108</v>
      </c>
      <c r="N18" s="2">
        <v>-15500000000000</v>
      </c>
      <c r="O18" s="2">
        <v>365000000000</v>
      </c>
      <c r="P18">
        <f t="shared" si="3"/>
        <v>11.272627537026878</v>
      </c>
    </row>
    <row r="19" spans="1:16" x14ac:dyDescent="0.2">
      <c r="A19">
        <v>80</v>
      </c>
      <c r="B19">
        <v>25</v>
      </c>
      <c r="C19">
        <v>1000</v>
      </c>
      <c r="D19">
        <v>8600</v>
      </c>
      <c r="E19">
        <f t="shared" si="5"/>
        <v>175</v>
      </c>
      <c r="F19">
        <f t="shared" si="4"/>
        <v>11520</v>
      </c>
      <c r="G19">
        <f t="shared" si="6"/>
        <v>35</v>
      </c>
      <c r="H19">
        <f t="shared" si="0"/>
        <v>1.5190972222222222E-2</v>
      </c>
      <c r="I19">
        <f t="shared" si="1"/>
        <v>1.5190972222222221</v>
      </c>
      <c r="J19">
        <v>3646</v>
      </c>
      <c r="K19" s="2">
        <v>500000000000</v>
      </c>
      <c r="L19">
        <f t="shared" si="2"/>
        <v>2538</v>
      </c>
      <c r="M19">
        <v>1108</v>
      </c>
      <c r="N19" s="2">
        <v>-15500000000000</v>
      </c>
      <c r="O19" s="2">
        <v>365000000000</v>
      </c>
      <c r="P19">
        <f t="shared" si="3"/>
        <v>11.272627537026878</v>
      </c>
    </row>
    <row r="20" spans="1:16" x14ac:dyDescent="0.2">
      <c r="A20">
        <v>85</v>
      </c>
      <c r="B20">
        <v>25</v>
      </c>
      <c r="C20">
        <v>1195</v>
      </c>
      <c r="D20">
        <v>8600</v>
      </c>
      <c r="E20">
        <f t="shared" si="5"/>
        <v>195</v>
      </c>
      <c r="F20">
        <f t="shared" si="4"/>
        <v>12240</v>
      </c>
      <c r="G20">
        <f t="shared" si="6"/>
        <v>39</v>
      </c>
      <c r="H20">
        <f t="shared" si="0"/>
        <v>1.5931372549019607E-2</v>
      </c>
      <c r="I20">
        <f t="shared" si="1"/>
        <v>1.5931372549019607</v>
      </c>
      <c r="J20">
        <v>3646</v>
      </c>
      <c r="K20" s="2">
        <v>500000000000</v>
      </c>
      <c r="L20">
        <f t="shared" si="2"/>
        <v>2538</v>
      </c>
      <c r="M20">
        <v>1108</v>
      </c>
      <c r="N20" s="2">
        <v>-15500000000000</v>
      </c>
      <c r="O20" s="2">
        <v>365000000000</v>
      </c>
      <c r="P20">
        <f t="shared" si="3"/>
        <v>11.272627537026878</v>
      </c>
    </row>
    <row r="21" spans="1:16" x14ac:dyDescent="0.2">
      <c r="A21">
        <v>90</v>
      </c>
      <c r="B21">
        <v>25</v>
      </c>
      <c r="C21">
        <v>1390</v>
      </c>
      <c r="D21">
        <v>8600</v>
      </c>
      <c r="E21">
        <f t="shared" si="5"/>
        <v>195</v>
      </c>
      <c r="F21">
        <f t="shared" si="4"/>
        <v>12960</v>
      </c>
      <c r="G21">
        <f t="shared" si="6"/>
        <v>39</v>
      </c>
      <c r="H21">
        <f t="shared" si="0"/>
        <v>1.5046296296296295E-2</v>
      </c>
      <c r="I21">
        <f t="shared" si="1"/>
        <v>1.5046296296296295</v>
      </c>
      <c r="J21">
        <v>3646</v>
      </c>
      <c r="K21" s="2">
        <v>500000000000</v>
      </c>
      <c r="L21">
        <f t="shared" si="2"/>
        <v>2538</v>
      </c>
      <c r="M21">
        <v>1108</v>
      </c>
      <c r="N21" s="2">
        <v>-15500000000000</v>
      </c>
      <c r="O21" s="2">
        <v>365000000000</v>
      </c>
      <c r="P21">
        <f t="shared" si="3"/>
        <v>11.272627537026878</v>
      </c>
    </row>
    <row r="22" spans="1:16" x14ac:dyDescent="0.2">
      <c r="A22">
        <v>95</v>
      </c>
      <c r="B22">
        <v>25</v>
      </c>
      <c r="C22">
        <v>1585</v>
      </c>
      <c r="D22">
        <v>8600</v>
      </c>
      <c r="E22">
        <f t="shared" si="5"/>
        <v>195</v>
      </c>
      <c r="F22">
        <f t="shared" si="4"/>
        <v>13680</v>
      </c>
      <c r="G22">
        <f t="shared" si="6"/>
        <v>39</v>
      </c>
      <c r="H22">
        <f t="shared" si="0"/>
        <v>1.425438596491228E-2</v>
      </c>
      <c r="I22">
        <f t="shared" si="1"/>
        <v>1.4254385964912279</v>
      </c>
      <c r="J22">
        <v>3646</v>
      </c>
      <c r="K22" s="2">
        <v>500000000000</v>
      </c>
      <c r="L22">
        <f t="shared" si="2"/>
        <v>2538</v>
      </c>
      <c r="M22">
        <v>1108</v>
      </c>
      <c r="N22" s="2">
        <v>-15500000000000</v>
      </c>
      <c r="O22" s="2">
        <v>365000000000</v>
      </c>
      <c r="P22">
        <f t="shared" si="3"/>
        <v>11.272627537026878</v>
      </c>
    </row>
    <row r="23" spans="1:16" x14ac:dyDescent="0.2">
      <c r="A23">
        <v>100</v>
      </c>
      <c r="B23">
        <v>25</v>
      </c>
      <c r="C23">
        <v>1770</v>
      </c>
      <c r="D23">
        <v>8600</v>
      </c>
      <c r="E23">
        <f t="shared" si="5"/>
        <v>185</v>
      </c>
      <c r="F23">
        <f t="shared" si="4"/>
        <v>14400</v>
      </c>
      <c r="G23">
        <f t="shared" si="6"/>
        <v>37</v>
      </c>
      <c r="H23">
        <f t="shared" si="0"/>
        <v>1.2847222222222222E-2</v>
      </c>
      <c r="I23">
        <f t="shared" si="1"/>
        <v>1.2847222222222221</v>
      </c>
      <c r="J23">
        <v>3646</v>
      </c>
      <c r="K23" s="2">
        <v>500000000000</v>
      </c>
      <c r="L23">
        <f t="shared" si="2"/>
        <v>2538</v>
      </c>
      <c r="M23">
        <v>1108</v>
      </c>
      <c r="N23" s="2">
        <v>-15500000000000</v>
      </c>
      <c r="O23" s="2">
        <v>365000000000</v>
      </c>
      <c r="P23">
        <f t="shared" si="3"/>
        <v>11.272627537026878</v>
      </c>
    </row>
    <row r="24" spans="1:16" x14ac:dyDescent="0.2">
      <c r="A24">
        <v>105</v>
      </c>
      <c r="B24">
        <v>25</v>
      </c>
      <c r="C24">
        <v>1953</v>
      </c>
      <c r="D24">
        <v>8600</v>
      </c>
      <c r="E24">
        <f t="shared" si="5"/>
        <v>183</v>
      </c>
      <c r="F24">
        <f t="shared" si="4"/>
        <v>15120</v>
      </c>
      <c r="G24">
        <f t="shared" si="6"/>
        <v>36.6</v>
      </c>
      <c r="H24">
        <f t="shared" si="0"/>
        <v>1.2103174603174604E-2</v>
      </c>
      <c r="I24">
        <f t="shared" si="1"/>
        <v>1.2103174603174605</v>
      </c>
      <c r="J24">
        <v>3646</v>
      </c>
      <c r="K24" s="2">
        <v>500000000000</v>
      </c>
      <c r="L24">
        <f t="shared" si="2"/>
        <v>2538</v>
      </c>
      <c r="M24">
        <v>1108</v>
      </c>
      <c r="N24" s="2">
        <v>-15500000000000</v>
      </c>
      <c r="O24" s="2">
        <v>365000000000</v>
      </c>
      <c r="P24">
        <f t="shared" si="3"/>
        <v>11.272627537026878</v>
      </c>
    </row>
    <row r="25" spans="1:16" x14ac:dyDescent="0.2">
      <c r="A25">
        <v>115</v>
      </c>
      <c r="B25">
        <v>25</v>
      </c>
      <c r="C25">
        <v>2315</v>
      </c>
      <c r="D25">
        <v>8600</v>
      </c>
      <c r="E25">
        <f t="shared" si="5"/>
        <v>362</v>
      </c>
      <c r="F25">
        <f t="shared" si="4"/>
        <v>16560</v>
      </c>
      <c r="G25">
        <f t="shared" si="6"/>
        <v>36.200000000000003</v>
      </c>
      <c r="H25">
        <f t="shared" si="0"/>
        <v>2.1859903381642513E-2</v>
      </c>
      <c r="I25">
        <f t="shared" si="1"/>
        <v>2.1859903381642511</v>
      </c>
      <c r="J25">
        <v>3646</v>
      </c>
      <c r="K25" s="2">
        <v>500000000000</v>
      </c>
      <c r="L25">
        <f t="shared" si="2"/>
        <v>2538</v>
      </c>
      <c r="M25">
        <v>1108</v>
      </c>
      <c r="N25" s="2">
        <v>-15500000000000</v>
      </c>
      <c r="O25" s="2">
        <v>365000000000</v>
      </c>
      <c r="P25">
        <f t="shared" si="3"/>
        <v>11.272627537026878</v>
      </c>
    </row>
    <row r="26" spans="1:16" x14ac:dyDescent="0.2">
      <c r="A26">
        <v>120</v>
      </c>
      <c r="B26">
        <v>25</v>
      </c>
      <c r="C26">
        <v>2498</v>
      </c>
      <c r="D26">
        <v>8600</v>
      </c>
      <c r="E26">
        <f t="shared" si="5"/>
        <v>183</v>
      </c>
      <c r="F26">
        <f t="shared" si="4"/>
        <v>17280</v>
      </c>
      <c r="G26">
        <f t="shared" si="6"/>
        <v>36.6</v>
      </c>
      <c r="H26">
        <f t="shared" si="0"/>
        <v>1.0590277777777778E-2</v>
      </c>
      <c r="I26">
        <f t="shared" si="1"/>
        <v>1.0590277777777779</v>
      </c>
      <c r="J26">
        <v>3646</v>
      </c>
      <c r="K26" s="2">
        <v>500000000000</v>
      </c>
      <c r="L26">
        <f t="shared" si="2"/>
        <v>2538</v>
      </c>
      <c r="M26">
        <v>1108</v>
      </c>
      <c r="N26" s="2">
        <v>-15500000000000</v>
      </c>
      <c r="O26" s="2">
        <v>365000000000</v>
      </c>
      <c r="P26">
        <f t="shared" si="3"/>
        <v>11.272627537026878</v>
      </c>
    </row>
    <row r="27" spans="1:16" x14ac:dyDescent="0.2">
      <c r="A27">
        <v>121.1</v>
      </c>
      <c r="B27">
        <v>25</v>
      </c>
      <c r="C27">
        <v>2540</v>
      </c>
      <c r="D27">
        <v>8840</v>
      </c>
      <c r="E27">
        <f t="shared" si="5"/>
        <v>42</v>
      </c>
      <c r="F27">
        <f t="shared" si="4"/>
        <v>17438.399999999998</v>
      </c>
      <c r="G27">
        <f t="shared" si="6"/>
        <v>38.181818181818379</v>
      </c>
      <c r="H27">
        <f t="shared" si="0"/>
        <v>2.4084778420038538E-3</v>
      </c>
      <c r="I27">
        <f t="shared" si="1"/>
        <v>0.24084778420038538</v>
      </c>
      <c r="J27">
        <v>3646</v>
      </c>
      <c r="K27" s="2">
        <v>500000000000</v>
      </c>
      <c r="L27">
        <f t="shared" si="2"/>
        <v>2538</v>
      </c>
      <c r="M27">
        <v>1108</v>
      </c>
      <c r="N27" s="2">
        <v>-15500000000000</v>
      </c>
      <c r="O27" s="2">
        <v>365000000000</v>
      </c>
      <c r="P27">
        <f t="shared" si="3"/>
        <v>11.272627537026878</v>
      </c>
    </row>
    <row r="28" spans="1:16" x14ac:dyDescent="0.2">
      <c r="A28">
        <v>128</v>
      </c>
      <c r="B28">
        <v>25</v>
      </c>
      <c r="C28">
        <v>2856</v>
      </c>
      <c r="D28">
        <f>(1000/3600)*(F28-F27)+D27</f>
        <v>9116</v>
      </c>
      <c r="E28">
        <f t="shared" si="5"/>
        <v>316</v>
      </c>
      <c r="F28">
        <f t="shared" si="4"/>
        <v>18432</v>
      </c>
      <c r="G28">
        <f t="shared" si="6"/>
        <v>45.797101449275324</v>
      </c>
      <c r="H28">
        <f t="shared" si="0"/>
        <v>1.7144097222222224E-2</v>
      </c>
      <c r="I28">
        <f t="shared" si="1"/>
        <v>1.7144097222222223</v>
      </c>
      <c r="J28">
        <v>3646</v>
      </c>
      <c r="K28" s="2">
        <v>500000000000</v>
      </c>
      <c r="L28">
        <f t="shared" si="2"/>
        <v>2538</v>
      </c>
      <c r="M28">
        <v>1108</v>
      </c>
      <c r="N28" s="2">
        <v>-15500000000000</v>
      </c>
      <c r="O28" s="2">
        <v>365000000000</v>
      </c>
      <c r="P28">
        <f t="shared" si="3"/>
        <v>11.272627537026878</v>
      </c>
    </row>
    <row r="29" spans="1:16" x14ac:dyDescent="0.2">
      <c r="A29">
        <v>133</v>
      </c>
      <c r="B29">
        <v>25</v>
      </c>
      <c r="C29">
        <v>3220</v>
      </c>
      <c r="D29">
        <f>(1000/3600)*(F29-F28)+D28</f>
        <v>9316</v>
      </c>
      <c r="E29">
        <f t="shared" si="5"/>
        <v>364</v>
      </c>
      <c r="F29">
        <f t="shared" si="4"/>
        <v>19152</v>
      </c>
      <c r="G29">
        <f t="shared" si="6"/>
        <v>72.8</v>
      </c>
      <c r="H29">
        <f t="shared" si="0"/>
        <v>1.9005847953216373E-2</v>
      </c>
      <c r="I29">
        <f t="shared" si="1"/>
        <v>1.9005847953216373</v>
      </c>
      <c r="J29">
        <v>3646</v>
      </c>
      <c r="K29" s="2">
        <v>500000000000</v>
      </c>
      <c r="L29">
        <f t="shared" si="2"/>
        <v>2538</v>
      </c>
      <c r="M29">
        <v>1108</v>
      </c>
      <c r="N29" s="2">
        <v>-15500000000000</v>
      </c>
      <c r="O29" s="2">
        <v>365000000000</v>
      </c>
      <c r="P29">
        <f t="shared" si="3"/>
        <v>11.272627537026878</v>
      </c>
    </row>
    <row r="30" spans="1:16" x14ac:dyDescent="0.2">
      <c r="A30">
        <v>135</v>
      </c>
      <c r="B30">
        <v>25</v>
      </c>
      <c r="C30">
        <v>3510</v>
      </c>
      <c r="D30">
        <f>(1000/3600)*(F30-F29)+D29</f>
        <v>9396</v>
      </c>
      <c r="E30">
        <f t="shared" si="5"/>
        <v>290</v>
      </c>
      <c r="F30">
        <f t="shared" si="4"/>
        <v>19440</v>
      </c>
      <c r="G30">
        <f t="shared" si="6"/>
        <v>145</v>
      </c>
      <c r="H30">
        <f t="shared" si="0"/>
        <v>1.4917695473251029E-2</v>
      </c>
      <c r="I30">
        <f t="shared" si="1"/>
        <v>1.4917695473251029</v>
      </c>
      <c r="J30">
        <v>3646</v>
      </c>
      <c r="K30" s="2">
        <v>500000000000</v>
      </c>
      <c r="L30">
        <f t="shared" si="2"/>
        <v>2538</v>
      </c>
      <c r="M30">
        <v>1108</v>
      </c>
      <c r="N30" s="2">
        <v>-15500000000000</v>
      </c>
      <c r="O30" s="2">
        <v>365000000000</v>
      </c>
      <c r="P30">
        <f t="shared" si="3"/>
        <v>11.272627537026878</v>
      </c>
    </row>
    <row r="31" spans="1:16" x14ac:dyDescent="0.2">
      <c r="K31" s="2"/>
      <c r="N31" s="2"/>
      <c r="O3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D3F3-BA70-554E-9DCA-349F1B4A6012}">
  <dimension ref="A1:P35"/>
  <sheetViews>
    <sheetView topLeftCell="A10" workbookViewId="0">
      <selection activeCell="P42" sqref="P42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C2">
        <v>2.77</v>
      </c>
      <c r="D2">
        <v>8620</v>
      </c>
      <c r="E2" cm="1">
        <f t="array" aca="1" ref="E2" ca="1">E2:G297</f>
        <v>0</v>
      </c>
      <c r="F2" cm="1">
        <f t="array" aca="1" ref="F2" ca="1">F2:H317</f>
        <v>0</v>
      </c>
      <c r="G2">
        <v>0</v>
      </c>
      <c r="H2">
        <f ca="1">E2/(3600/B2*A2)</f>
        <v>0</v>
      </c>
      <c r="I2">
        <f ca="1">H2*100</f>
        <v>0</v>
      </c>
      <c r="J2">
        <v>3500</v>
      </c>
      <c r="K2" s="2">
        <v>500000000000</v>
      </c>
      <c r="L2">
        <v>3497</v>
      </c>
      <c r="M2">
        <v>0</v>
      </c>
      <c r="N2" s="2">
        <v>-20000000000000</v>
      </c>
      <c r="O2" s="2">
        <v>2100000000000</v>
      </c>
      <c r="P2">
        <f>(764/3500)*100</f>
        <v>21.828571428571429</v>
      </c>
    </row>
    <row r="3" spans="1:16" x14ac:dyDescent="0.2">
      <c r="A3">
        <v>3</v>
      </c>
      <c r="B3">
        <v>40</v>
      </c>
      <c r="C3">
        <v>3.88</v>
      </c>
      <c r="D3">
        <v>8620</v>
      </c>
      <c r="E3">
        <f>C3-C2</f>
        <v>1.1099999999999999</v>
      </c>
      <c r="F3">
        <f>3600/B3*A3</f>
        <v>270</v>
      </c>
      <c r="G3">
        <f>E3/A3</f>
        <v>0.36999999999999994</v>
      </c>
      <c r="H3">
        <f t="shared" ref="H3:H35" si="0">E3/(3600/B3*A3)</f>
        <v>4.1111111111111105E-3</v>
      </c>
      <c r="I3">
        <f t="shared" ref="I3:I35" si="1">H3*100</f>
        <v>0.41111111111111104</v>
      </c>
      <c r="J3">
        <v>3500</v>
      </c>
      <c r="K3" s="2">
        <v>500000000000</v>
      </c>
      <c r="L3">
        <v>3497</v>
      </c>
      <c r="M3">
        <v>0</v>
      </c>
      <c r="N3" s="2">
        <v>-20000000000000</v>
      </c>
      <c r="O3" s="2">
        <v>2100000000000</v>
      </c>
      <c r="P3">
        <f t="shared" ref="P3:P35" si="2">(764/3500)*100</f>
        <v>21.828571428571429</v>
      </c>
    </row>
    <row r="4" spans="1:16" x14ac:dyDescent="0.2">
      <c r="A4">
        <v>6</v>
      </c>
      <c r="B4">
        <v>40</v>
      </c>
      <c r="C4">
        <v>4.71</v>
      </c>
      <c r="D4">
        <v>8620</v>
      </c>
      <c r="E4">
        <f>C4-C3</f>
        <v>0.83000000000000007</v>
      </c>
      <c r="F4">
        <f>3600/B4*A4</f>
        <v>540</v>
      </c>
      <c r="G4">
        <f>E4/(A4-A3)</f>
        <v>0.27666666666666667</v>
      </c>
      <c r="H4">
        <f t="shared" si="0"/>
        <v>1.5370370370370371E-3</v>
      </c>
      <c r="I4">
        <f t="shared" si="1"/>
        <v>0.1537037037037037</v>
      </c>
      <c r="J4">
        <v>3500</v>
      </c>
      <c r="K4" s="2">
        <v>500000000000</v>
      </c>
      <c r="L4">
        <v>3497</v>
      </c>
      <c r="M4">
        <v>0</v>
      </c>
      <c r="N4" s="2">
        <v>-20000000000000</v>
      </c>
      <c r="O4" s="2">
        <v>2100000000000</v>
      </c>
      <c r="P4">
        <f t="shared" si="2"/>
        <v>21.828571428571429</v>
      </c>
    </row>
    <row r="5" spans="1:16" x14ac:dyDescent="0.2">
      <c r="A5">
        <v>9</v>
      </c>
      <c r="B5">
        <v>40</v>
      </c>
      <c r="C5">
        <v>5.32</v>
      </c>
      <c r="D5">
        <v>8620</v>
      </c>
      <c r="E5">
        <f>C5-C4</f>
        <v>0.61000000000000032</v>
      </c>
      <c r="F5">
        <f t="shared" ref="F5:F35" si="3">3600/B5*A5</f>
        <v>810</v>
      </c>
      <c r="G5">
        <f>E5/(A5-A4)</f>
        <v>0.20333333333333345</v>
      </c>
      <c r="H5">
        <f t="shared" si="0"/>
        <v>7.5308641975308681E-4</v>
      </c>
      <c r="I5">
        <f t="shared" si="1"/>
        <v>7.5308641975308677E-2</v>
      </c>
      <c r="J5">
        <v>3500</v>
      </c>
      <c r="K5" s="2">
        <v>500000000000</v>
      </c>
      <c r="L5">
        <v>3497</v>
      </c>
      <c r="M5">
        <v>0</v>
      </c>
      <c r="N5" s="2">
        <v>-20000000000000</v>
      </c>
      <c r="O5" s="2">
        <v>2100000000000</v>
      </c>
      <c r="P5">
        <f t="shared" si="2"/>
        <v>21.828571428571429</v>
      </c>
    </row>
    <row r="6" spans="1:16" x14ac:dyDescent="0.2">
      <c r="A6">
        <v>13</v>
      </c>
      <c r="B6">
        <v>40</v>
      </c>
      <c r="C6">
        <v>6.35</v>
      </c>
      <c r="D6">
        <v>8620</v>
      </c>
      <c r="E6">
        <f t="shared" ref="E6:E35" si="4">C6-C5</f>
        <v>1.0299999999999994</v>
      </c>
      <c r="F6">
        <f t="shared" si="3"/>
        <v>1170</v>
      </c>
      <c r="G6">
        <f t="shared" ref="G6:G35" si="5">E6/(A6-A5)</f>
        <v>0.25749999999999984</v>
      </c>
      <c r="H6">
        <f t="shared" si="0"/>
        <v>8.8034188034187978E-4</v>
      </c>
      <c r="I6">
        <f t="shared" si="1"/>
        <v>8.8034188034187971E-2</v>
      </c>
      <c r="J6">
        <v>3500</v>
      </c>
      <c r="K6" s="2">
        <v>500000000000</v>
      </c>
      <c r="L6">
        <v>3497</v>
      </c>
      <c r="M6">
        <v>0</v>
      </c>
      <c r="N6" s="2">
        <v>-20000000000000</v>
      </c>
      <c r="O6" s="2">
        <v>2100000000000</v>
      </c>
      <c r="P6">
        <f t="shared" si="2"/>
        <v>21.828571428571429</v>
      </c>
    </row>
    <row r="7" spans="1:16" x14ac:dyDescent="0.2">
      <c r="A7">
        <v>17</v>
      </c>
      <c r="B7">
        <v>40</v>
      </c>
      <c r="C7">
        <v>7.41</v>
      </c>
      <c r="D7">
        <v>8620</v>
      </c>
      <c r="E7">
        <f t="shared" si="4"/>
        <v>1.0600000000000005</v>
      </c>
      <c r="F7">
        <f t="shared" si="3"/>
        <v>1530</v>
      </c>
      <c r="G7">
        <f t="shared" si="5"/>
        <v>0.26500000000000012</v>
      </c>
      <c r="H7">
        <f t="shared" si="0"/>
        <v>6.9281045751634022E-4</v>
      </c>
      <c r="I7">
        <f t="shared" si="1"/>
        <v>6.9281045751634018E-2</v>
      </c>
      <c r="J7">
        <v>3500</v>
      </c>
      <c r="K7" s="2">
        <v>500000000000</v>
      </c>
      <c r="L7">
        <v>3497</v>
      </c>
      <c r="M7">
        <v>0</v>
      </c>
      <c r="N7" s="2">
        <v>-20000000000000</v>
      </c>
      <c r="O7" s="2">
        <v>2100000000000</v>
      </c>
      <c r="P7">
        <f t="shared" si="2"/>
        <v>21.828571428571429</v>
      </c>
    </row>
    <row r="8" spans="1:16" x14ac:dyDescent="0.2">
      <c r="A8">
        <v>20</v>
      </c>
      <c r="B8">
        <v>25</v>
      </c>
      <c r="C8">
        <v>8.51</v>
      </c>
      <c r="D8">
        <v>8600</v>
      </c>
      <c r="E8">
        <f t="shared" si="4"/>
        <v>1.0999999999999996</v>
      </c>
      <c r="F8">
        <f t="shared" si="3"/>
        <v>2880</v>
      </c>
      <c r="G8">
        <f t="shared" si="5"/>
        <v>0.36666666666666653</v>
      </c>
      <c r="H8">
        <f t="shared" si="0"/>
        <v>3.819444444444443E-4</v>
      </c>
      <c r="I8">
        <f t="shared" si="1"/>
        <v>3.8194444444444434E-2</v>
      </c>
      <c r="J8">
        <v>3500</v>
      </c>
      <c r="K8" s="2">
        <v>500000000000</v>
      </c>
      <c r="L8">
        <v>3497</v>
      </c>
      <c r="M8">
        <v>0</v>
      </c>
      <c r="N8" s="2">
        <v>-20000000000000</v>
      </c>
      <c r="O8" s="2">
        <v>2100000000000</v>
      </c>
      <c r="P8">
        <f t="shared" si="2"/>
        <v>21.828571428571429</v>
      </c>
    </row>
    <row r="9" spans="1:16" x14ac:dyDescent="0.2">
      <c r="A9">
        <v>25</v>
      </c>
      <c r="B9">
        <v>25</v>
      </c>
      <c r="C9">
        <v>10.53</v>
      </c>
      <c r="D9">
        <v>8580</v>
      </c>
      <c r="E9">
        <f t="shared" si="4"/>
        <v>2.0199999999999996</v>
      </c>
      <c r="F9">
        <f t="shared" si="3"/>
        <v>3600</v>
      </c>
      <c r="G9">
        <f t="shared" si="5"/>
        <v>0.40399999999999991</v>
      </c>
      <c r="H9">
        <f t="shared" si="0"/>
        <v>5.6111111111111097E-4</v>
      </c>
      <c r="I9">
        <f t="shared" si="1"/>
        <v>5.6111111111111098E-2</v>
      </c>
      <c r="J9">
        <v>3500</v>
      </c>
      <c r="K9" s="2">
        <v>500000000000</v>
      </c>
      <c r="L9">
        <v>3497</v>
      </c>
      <c r="M9">
        <v>0</v>
      </c>
      <c r="N9" s="2">
        <v>-20000000000000</v>
      </c>
      <c r="O9" s="2">
        <v>2100000000000</v>
      </c>
      <c r="P9">
        <f t="shared" si="2"/>
        <v>21.828571428571429</v>
      </c>
    </row>
    <row r="10" spans="1:16" x14ac:dyDescent="0.2">
      <c r="A10">
        <v>30</v>
      </c>
      <c r="B10">
        <v>25</v>
      </c>
      <c r="C10">
        <v>13.51</v>
      </c>
      <c r="D10">
        <v>8560</v>
      </c>
      <c r="E10">
        <f t="shared" si="4"/>
        <v>2.9800000000000004</v>
      </c>
      <c r="F10">
        <f t="shared" si="3"/>
        <v>4320</v>
      </c>
      <c r="G10">
        <f t="shared" si="5"/>
        <v>0.59600000000000009</v>
      </c>
      <c r="H10">
        <f t="shared" si="0"/>
        <v>6.8981481481481487E-4</v>
      </c>
      <c r="I10">
        <f t="shared" si="1"/>
        <v>6.8981481481481491E-2</v>
      </c>
      <c r="J10">
        <v>3500</v>
      </c>
      <c r="K10" s="2">
        <v>500000000000</v>
      </c>
      <c r="L10">
        <v>3497</v>
      </c>
      <c r="M10">
        <v>0</v>
      </c>
      <c r="N10" s="2">
        <v>-20000000000000</v>
      </c>
      <c r="O10" s="2">
        <v>2100000000000</v>
      </c>
      <c r="P10">
        <f t="shared" si="2"/>
        <v>21.828571428571429</v>
      </c>
    </row>
    <row r="11" spans="1:16" x14ac:dyDescent="0.2">
      <c r="A11">
        <v>35</v>
      </c>
      <c r="B11">
        <v>25</v>
      </c>
      <c r="C11">
        <v>18.600000000000001</v>
      </c>
      <c r="D11">
        <v>8540</v>
      </c>
      <c r="E11">
        <f t="shared" si="4"/>
        <v>5.0900000000000016</v>
      </c>
      <c r="F11">
        <f t="shared" si="3"/>
        <v>5040</v>
      </c>
      <c r="G11">
        <f t="shared" si="5"/>
        <v>1.0180000000000002</v>
      </c>
      <c r="H11">
        <f t="shared" si="0"/>
        <v>1.0099206349206353E-3</v>
      </c>
      <c r="I11">
        <f t="shared" si="1"/>
        <v>0.10099206349206352</v>
      </c>
      <c r="J11">
        <v>3500</v>
      </c>
      <c r="K11" s="2">
        <v>500000000000</v>
      </c>
      <c r="L11">
        <v>3497</v>
      </c>
      <c r="M11">
        <v>0</v>
      </c>
      <c r="N11" s="2">
        <v>-20000000000000</v>
      </c>
      <c r="O11" s="2">
        <v>2100000000000</v>
      </c>
      <c r="P11">
        <f t="shared" si="2"/>
        <v>21.828571428571429</v>
      </c>
    </row>
    <row r="12" spans="1:16" x14ac:dyDescent="0.2">
      <c r="A12">
        <v>40</v>
      </c>
      <c r="B12">
        <v>25</v>
      </c>
      <c r="C12">
        <v>25.32</v>
      </c>
      <c r="D12">
        <v>8520</v>
      </c>
      <c r="E12">
        <f t="shared" si="4"/>
        <v>6.7199999999999989</v>
      </c>
      <c r="F12">
        <f t="shared" si="3"/>
        <v>5760</v>
      </c>
      <c r="G12">
        <f t="shared" si="5"/>
        <v>1.3439999999999999</v>
      </c>
      <c r="H12">
        <f t="shared" si="0"/>
        <v>1.1666666666666665E-3</v>
      </c>
      <c r="I12">
        <f t="shared" si="1"/>
        <v>0.11666666666666665</v>
      </c>
      <c r="J12">
        <v>3500</v>
      </c>
      <c r="K12" s="2">
        <v>500000000000</v>
      </c>
      <c r="L12">
        <v>3497</v>
      </c>
      <c r="M12">
        <v>0</v>
      </c>
      <c r="N12" s="2">
        <v>-20000000000000</v>
      </c>
      <c r="O12" s="2">
        <v>2100000000000</v>
      </c>
      <c r="P12">
        <f t="shared" si="2"/>
        <v>21.828571428571429</v>
      </c>
    </row>
    <row r="13" spans="1:16" x14ac:dyDescent="0.2">
      <c r="A13">
        <v>45</v>
      </c>
      <c r="B13">
        <v>25</v>
      </c>
      <c r="C13">
        <v>35.020000000000003</v>
      </c>
      <c r="D13">
        <v>8500</v>
      </c>
      <c r="E13">
        <f t="shared" si="4"/>
        <v>9.7000000000000028</v>
      </c>
      <c r="F13">
        <f t="shared" si="3"/>
        <v>6480</v>
      </c>
      <c r="G13">
        <f t="shared" si="5"/>
        <v>1.9400000000000006</v>
      </c>
      <c r="H13">
        <f t="shared" si="0"/>
        <v>1.496913580246914E-3</v>
      </c>
      <c r="I13">
        <f t="shared" si="1"/>
        <v>0.14969135802469141</v>
      </c>
      <c r="J13">
        <v>3500</v>
      </c>
      <c r="K13" s="2">
        <v>500000000000</v>
      </c>
      <c r="L13">
        <v>3497</v>
      </c>
      <c r="M13">
        <v>0</v>
      </c>
      <c r="N13" s="2">
        <v>-20000000000000</v>
      </c>
      <c r="O13" s="2">
        <v>2100000000000</v>
      </c>
      <c r="P13">
        <f t="shared" si="2"/>
        <v>21.828571428571429</v>
      </c>
    </row>
    <row r="14" spans="1:16" x14ac:dyDescent="0.2">
      <c r="A14">
        <v>50</v>
      </c>
      <c r="B14">
        <v>25</v>
      </c>
      <c r="C14">
        <v>51.33</v>
      </c>
      <c r="D14">
        <v>8480</v>
      </c>
      <c r="E14">
        <f t="shared" si="4"/>
        <v>16.309999999999995</v>
      </c>
      <c r="F14">
        <f t="shared" si="3"/>
        <v>7200</v>
      </c>
      <c r="G14">
        <f t="shared" si="5"/>
        <v>3.2619999999999991</v>
      </c>
      <c r="H14">
        <f t="shared" si="0"/>
        <v>2.2652777777777771E-3</v>
      </c>
      <c r="I14">
        <f t="shared" si="1"/>
        <v>0.22652777777777772</v>
      </c>
      <c r="J14">
        <v>3500</v>
      </c>
      <c r="K14" s="2">
        <v>500000000000</v>
      </c>
      <c r="L14">
        <v>3497</v>
      </c>
      <c r="M14">
        <v>0</v>
      </c>
      <c r="N14" s="2">
        <v>-20000000000000</v>
      </c>
      <c r="O14" s="2">
        <v>2100000000000</v>
      </c>
      <c r="P14">
        <f t="shared" si="2"/>
        <v>21.828571428571429</v>
      </c>
    </row>
    <row r="15" spans="1:16" x14ac:dyDescent="0.2">
      <c r="A15">
        <v>55</v>
      </c>
      <c r="B15">
        <v>25</v>
      </c>
      <c r="C15">
        <v>79.23</v>
      </c>
      <c r="D15">
        <v>8460</v>
      </c>
      <c r="E15">
        <f t="shared" si="4"/>
        <v>27.900000000000006</v>
      </c>
      <c r="F15">
        <f t="shared" si="3"/>
        <v>7920</v>
      </c>
      <c r="G15">
        <f t="shared" si="5"/>
        <v>5.580000000000001</v>
      </c>
      <c r="H15">
        <f t="shared" si="0"/>
        <v>3.5227272727272733E-3</v>
      </c>
      <c r="I15">
        <f t="shared" si="1"/>
        <v>0.35227272727272735</v>
      </c>
      <c r="J15">
        <v>3500</v>
      </c>
      <c r="K15" s="2">
        <v>500000000000</v>
      </c>
      <c r="L15">
        <v>3497</v>
      </c>
      <c r="M15">
        <v>0</v>
      </c>
      <c r="N15" s="2">
        <v>-20000000000000</v>
      </c>
      <c r="O15" s="2">
        <v>2100000000000</v>
      </c>
      <c r="P15">
        <f t="shared" si="2"/>
        <v>21.828571428571429</v>
      </c>
    </row>
    <row r="16" spans="1:16" x14ac:dyDescent="0.2">
      <c r="A16">
        <v>60</v>
      </c>
      <c r="B16">
        <v>25</v>
      </c>
      <c r="C16">
        <v>132.87</v>
      </c>
      <c r="D16">
        <v>8460</v>
      </c>
      <c r="E16">
        <f t="shared" si="4"/>
        <v>53.64</v>
      </c>
      <c r="F16">
        <f t="shared" si="3"/>
        <v>8640</v>
      </c>
      <c r="G16">
        <f t="shared" si="5"/>
        <v>10.728</v>
      </c>
      <c r="H16">
        <f t="shared" si="0"/>
        <v>6.2083333333333331E-3</v>
      </c>
      <c r="I16">
        <f t="shared" si="1"/>
        <v>0.62083333333333335</v>
      </c>
      <c r="J16">
        <v>3500</v>
      </c>
      <c r="K16" s="2">
        <v>500000000000</v>
      </c>
      <c r="L16">
        <v>3497</v>
      </c>
      <c r="M16">
        <v>0</v>
      </c>
      <c r="N16" s="2">
        <v>-20000000000000</v>
      </c>
      <c r="O16" s="2">
        <v>2100000000000</v>
      </c>
      <c r="P16">
        <f t="shared" si="2"/>
        <v>21.828571428571429</v>
      </c>
    </row>
    <row r="17" spans="1:16" x14ac:dyDescent="0.2">
      <c r="A17">
        <v>65</v>
      </c>
      <c r="B17">
        <v>25</v>
      </c>
      <c r="C17">
        <v>221.12</v>
      </c>
      <c r="D17">
        <v>8600</v>
      </c>
      <c r="E17">
        <f t="shared" si="4"/>
        <v>88.25</v>
      </c>
      <c r="F17">
        <f t="shared" si="3"/>
        <v>9360</v>
      </c>
      <c r="G17">
        <f t="shared" si="5"/>
        <v>17.649999999999999</v>
      </c>
      <c r="H17">
        <f t="shared" si="0"/>
        <v>9.4284188034188029E-3</v>
      </c>
      <c r="I17">
        <f t="shared" si="1"/>
        <v>0.94284188034188032</v>
      </c>
      <c r="J17">
        <v>3500</v>
      </c>
      <c r="K17" s="2">
        <v>500000000000</v>
      </c>
      <c r="L17">
        <v>3497</v>
      </c>
      <c r="M17">
        <v>0</v>
      </c>
      <c r="N17" s="2">
        <v>-20000000000000</v>
      </c>
      <c r="O17" s="2">
        <v>2100000000000</v>
      </c>
      <c r="P17">
        <f t="shared" si="2"/>
        <v>21.828571428571429</v>
      </c>
    </row>
    <row r="18" spans="1:16" x14ac:dyDescent="0.2">
      <c r="A18">
        <v>70</v>
      </c>
      <c r="B18">
        <v>25</v>
      </c>
      <c r="C18">
        <v>369.13</v>
      </c>
      <c r="D18">
        <v>8620</v>
      </c>
      <c r="E18">
        <f t="shared" si="4"/>
        <v>148.01</v>
      </c>
      <c r="F18">
        <f t="shared" si="3"/>
        <v>10080</v>
      </c>
      <c r="G18">
        <f t="shared" si="5"/>
        <v>29.601999999999997</v>
      </c>
      <c r="H18">
        <f t="shared" si="0"/>
        <v>1.4683531746031745E-2</v>
      </c>
      <c r="I18">
        <f t="shared" si="1"/>
        <v>1.4683531746031744</v>
      </c>
      <c r="J18">
        <v>3500</v>
      </c>
      <c r="K18" s="2">
        <v>500000000000</v>
      </c>
      <c r="L18">
        <v>3497</v>
      </c>
      <c r="M18">
        <v>0</v>
      </c>
      <c r="N18" s="2">
        <v>-20000000000000</v>
      </c>
      <c r="O18" s="2">
        <v>2100000000000</v>
      </c>
      <c r="P18">
        <f t="shared" si="2"/>
        <v>21.828571428571429</v>
      </c>
    </row>
    <row r="19" spans="1:16" x14ac:dyDescent="0.2">
      <c r="A19">
        <v>75</v>
      </c>
      <c r="B19">
        <v>25</v>
      </c>
      <c r="C19">
        <v>538.45000000000005</v>
      </c>
      <c r="D19">
        <v>8640</v>
      </c>
      <c r="E19">
        <f t="shared" si="4"/>
        <v>169.32000000000005</v>
      </c>
      <c r="F19">
        <f t="shared" si="3"/>
        <v>10800</v>
      </c>
      <c r="G19">
        <f t="shared" si="5"/>
        <v>33.864000000000011</v>
      </c>
      <c r="H19">
        <f t="shared" si="0"/>
        <v>1.5677777777777784E-2</v>
      </c>
      <c r="I19">
        <f t="shared" si="1"/>
        <v>1.5677777777777784</v>
      </c>
      <c r="J19">
        <v>3500</v>
      </c>
      <c r="K19" s="2">
        <v>500000000000</v>
      </c>
      <c r="L19">
        <v>3497</v>
      </c>
      <c r="M19">
        <v>0</v>
      </c>
      <c r="N19" s="2">
        <v>-20000000000000</v>
      </c>
      <c r="O19" s="2">
        <v>2100000000000</v>
      </c>
      <c r="P19">
        <f t="shared" si="2"/>
        <v>21.828571428571429</v>
      </c>
    </row>
    <row r="20" spans="1:16" x14ac:dyDescent="0.2">
      <c r="A20">
        <v>80</v>
      </c>
      <c r="B20">
        <v>25</v>
      </c>
      <c r="C20">
        <v>758.35</v>
      </c>
      <c r="D20">
        <v>8640</v>
      </c>
      <c r="E20">
        <f t="shared" si="4"/>
        <v>219.89999999999998</v>
      </c>
      <c r="F20">
        <f t="shared" si="3"/>
        <v>11520</v>
      </c>
      <c r="G20">
        <f t="shared" si="5"/>
        <v>43.98</v>
      </c>
      <c r="H20">
        <f t="shared" si="0"/>
        <v>1.9088541666666663E-2</v>
      </c>
      <c r="I20">
        <f t="shared" si="1"/>
        <v>1.9088541666666663</v>
      </c>
      <c r="J20">
        <v>3500</v>
      </c>
      <c r="K20" s="2">
        <v>500000000000</v>
      </c>
      <c r="L20">
        <v>3497</v>
      </c>
      <c r="M20">
        <v>0</v>
      </c>
      <c r="N20" s="2">
        <v>-20000000000000</v>
      </c>
      <c r="O20" s="2">
        <v>2100000000000</v>
      </c>
      <c r="P20">
        <f t="shared" si="2"/>
        <v>21.828571428571429</v>
      </c>
    </row>
    <row r="21" spans="1:16" x14ac:dyDescent="0.2">
      <c r="A21">
        <v>85</v>
      </c>
      <c r="B21">
        <v>25</v>
      </c>
      <c r="C21">
        <v>988.4</v>
      </c>
      <c r="D21">
        <v>8640</v>
      </c>
      <c r="E21">
        <f t="shared" si="4"/>
        <v>230.04999999999995</v>
      </c>
      <c r="F21">
        <f t="shared" si="3"/>
        <v>12240</v>
      </c>
      <c r="G21">
        <f t="shared" si="5"/>
        <v>46.009999999999991</v>
      </c>
      <c r="H21">
        <f t="shared" si="0"/>
        <v>1.8794934640522874E-2</v>
      </c>
      <c r="I21">
        <f t="shared" si="1"/>
        <v>1.8794934640522873</v>
      </c>
      <c r="J21">
        <v>3500</v>
      </c>
      <c r="K21" s="2">
        <v>500000000000</v>
      </c>
      <c r="L21">
        <v>3497</v>
      </c>
      <c r="M21">
        <v>0</v>
      </c>
      <c r="N21" s="2">
        <v>-20000000000000</v>
      </c>
      <c r="O21" s="2">
        <v>2100000000000</v>
      </c>
      <c r="P21">
        <f t="shared" si="2"/>
        <v>21.828571428571429</v>
      </c>
    </row>
    <row r="22" spans="1:16" x14ac:dyDescent="0.2">
      <c r="A22">
        <v>90</v>
      </c>
      <c r="B22">
        <v>25</v>
      </c>
      <c r="C22">
        <v>1199.95</v>
      </c>
      <c r="D22">
        <v>8640</v>
      </c>
      <c r="E22">
        <f t="shared" si="4"/>
        <v>211.55000000000007</v>
      </c>
      <c r="F22">
        <f t="shared" si="3"/>
        <v>12960</v>
      </c>
      <c r="G22">
        <f t="shared" si="5"/>
        <v>42.310000000000016</v>
      </c>
      <c r="H22">
        <f t="shared" si="0"/>
        <v>1.6323302469135808E-2</v>
      </c>
      <c r="I22">
        <f t="shared" si="1"/>
        <v>1.6323302469135808</v>
      </c>
      <c r="J22">
        <v>3500</v>
      </c>
      <c r="K22" s="2">
        <v>500000000000</v>
      </c>
      <c r="L22">
        <v>3497</v>
      </c>
      <c r="M22">
        <v>0</v>
      </c>
      <c r="N22" s="2">
        <v>-20000000000000</v>
      </c>
      <c r="O22" s="2">
        <v>2100000000000</v>
      </c>
      <c r="P22">
        <f t="shared" si="2"/>
        <v>21.828571428571429</v>
      </c>
    </row>
    <row r="23" spans="1:16" x14ac:dyDescent="0.2">
      <c r="A23">
        <v>95</v>
      </c>
      <c r="B23">
        <v>25</v>
      </c>
      <c r="C23">
        <v>1400</v>
      </c>
      <c r="D23">
        <v>8640</v>
      </c>
      <c r="E23">
        <f t="shared" si="4"/>
        <v>200.04999999999995</v>
      </c>
      <c r="F23">
        <f t="shared" si="3"/>
        <v>13680</v>
      </c>
      <c r="G23">
        <f t="shared" si="5"/>
        <v>40.009999999999991</v>
      </c>
      <c r="H23">
        <f t="shared" si="0"/>
        <v>1.4623538011695903E-2</v>
      </c>
      <c r="I23">
        <f t="shared" si="1"/>
        <v>1.4623538011695902</v>
      </c>
      <c r="J23">
        <v>3500</v>
      </c>
      <c r="K23" s="2">
        <v>500000000000</v>
      </c>
      <c r="L23">
        <v>3497</v>
      </c>
      <c r="M23">
        <v>0</v>
      </c>
      <c r="N23" s="2">
        <v>-20000000000000</v>
      </c>
      <c r="O23" s="2">
        <v>2100000000000</v>
      </c>
      <c r="P23">
        <f t="shared" si="2"/>
        <v>21.828571428571429</v>
      </c>
    </row>
    <row r="24" spans="1:16" x14ac:dyDescent="0.2">
      <c r="A24">
        <v>100</v>
      </c>
      <c r="B24">
        <v>25</v>
      </c>
      <c r="C24">
        <v>1631</v>
      </c>
      <c r="D24">
        <v>8640</v>
      </c>
      <c r="E24">
        <f t="shared" si="4"/>
        <v>231</v>
      </c>
      <c r="F24">
        <f t="shared" si="3"/>
        <v>14400</v>
      </c>
      <c r="G24">
        <f t="shared" si="5"/>
        <v>46.2</v>
      </c>
      <c r="H24">
        <f t="shared" si="0"/>
        <v>1.6041666666666666E-2</v>
      </c>
      <c r="I24">
        <f t="shared" si="1"/>
        <v>1.6041666666666665</v>
      </c>
      <c r="J24">
        <v>3500</v>
      </c>
      <c r="K24" s="2">
        <v>500000000000</v>
      </c>
      <c r="L24">
        <v>3497</v>
      </c>
      <c r="M24">
        <v>0</v>
      </c>
      <c r="N24" s="2">
        <v>-20000000000000</v>
      </c>
      <c r="O24" s="2">
        <v>2100000000000</v>
      </c>
      <c r="P24">
        <f t="shared" si="2"/>
        <v>21.828571428571429</v>
      </c>
    </row>
    <row r="25" spans="1:16" x14ac:dyDescent="0.2">
      <c r="A25">
        <v>105</v>
      </c>
      <c r="B25">
        <v>25</v>
      </c>
      <c r="C25">
        <v>1838</v>
      </c>
      <c r="D25">
        <v>8640</v>
      </c>
      <c r="E25">
        <f t="shared" si="4"/>
        <v>207</v>
      </c>
      <c r="F25">
        <f t="shared" si="3"/>
        <v>15120</v>
      </c>
      <c r="G25">
        <f t="shared" si="5"/>
        <v>41.4</v>
      </c>
      <c r="H25">
        <f t="shared" si="0"/>
        <v>1.369047619047619E-2</v>
      </c>
      <c r="I25">
        <f t="shared" si="1"/>
        <v>1.3690476190476191</v>
      </c>
      <c r="J25">
        <v>3500</v>
      </c>
      <c r="K25" s="2">
        <v>500000000000</v>
      </c>
      <c r="L25">
        <v>3497</v>
      </c>
      <c r="M25">
        <v>0</v>
      </c>
      <c r="N25" s="2">
        <v>-20000000000000</v>
      </c>
      <c r="O25" s="2">
        <v>2100000000000</v>
      </c>
      <c r="P25">
        <f t="shared" si="2"/>
        <v>21.828571428571429</v>
      </c>
    </row>
    <row r="26" spans="1:16" x14ac:dyDescent="0.2">
      <c r="A26">
        <v>110</v>
      </c>
      <c r="B26">
        <v>25</v>
      </c>
      <c r="C26">
        <v>2011</v>
      </c>
      <c r="D26">
        <v>8640</v>
      </c>
      <c r="E26">
        <f t="shared" si="4"/>
        <v>173</v>
      </c>
      <c r="F26">
        <f t="shared" si="3"/>
        <v>15840</v>
      </c>
      <c r="G26">
        <f t="shared" si="5"/>
        <v>34.6</v>
      </c>
      <c r="H26">
        <f t="shared" si="0"/>
        <v>1.0921717171717171E-2</v>
      </c>
      <c r="I26">
        <f t="shared" si="1"/>
        <v>1.0921717171717171</v>
      </c>
      <c r="J26">
        <v>3500</v>
      </c>
      <c r="K26" s="2">
        <v>500000000000</v>
      </c>
      <c r="L26">
        <v>3497</v>
      </c>
      <c r="M26">
        <v>0</v>
      </c>
      <c r="N26" s="2">
        <v>-20000000000000</v>
      </c>
      <c r="O26" s="2">
        <v>2100000000000</v>
      </c>
      <c r="P26">
        <f t="shared" si="2"/>
        <v>21.828571428571429</v>
      </c>
    </row>
    <row r="27" spans="1:16" x14ac:dyDescent="0.2">
      <c r="A27">
        <v>115</v>
      </c>
      <c r="B27">
        <v>25</v>
      </c>
      <c r="C27">
        <v>2190</v>
      </c>
      <c r="D27">
        <v>8640</v>
      </c>
      <c r="E27">
        <f t="shared" si="4"/>
        <v>179</v>
      </c>
      <c r="F27">
        <f t="shared" si="3"/>
        <v>16560</v>
      </c>
      <c r="G27">
        <f t="shared" si="5"/>
        <v>35.799999999999997</v>
      </c>
      <c r="H27">
        <f t="shared" si="0"/>
        <v>1.0809178743961353E-2</v>
      </c>
      <c r="I27">
        <f t="shared" si="1"/>
        <v>1.0809178743961354</v>
      </c>
      <c r="J27">
        <v>3500</v>
      </c>
      <c r="K27" s="2">
        <v>500000000000</v>
      </c>
      <c r="L27">
        <v>3497</v>
      </c>
      <c r="M27">
        <v>0</v>
      </c>
      <c r="N27" s="2">
        <v>-20000000000000</v>
      </c>
      <c r="O27" s="2">
        <v>2100000000000</v>
      </c>
      <c r="P27">
        <f t="shared" si="2"/>
        <v>21.828571428571429</v>
      </c>
    </row>
    <row r="28" spans="1:16" x14ac:dyDescent="0.2">
      <c r="A28">
        <v>118</v>
      </c>
      <c r="B28">
        <v>25</v>
      </c>
      <c r="C28">
        <v>2295</v>
      </c>
      <c r="D28">
        <v>8640</v>
      </c>
      <c r="E28">
        <f t="shared" si="4"/>
        <v>105</v>
      </c>
      <c r="F28">
        <f t="shared" si="3"/>
        <v>16992</v>
      </c>
      <c r="G28">
        <f t="shared" si="5"/>
        <v>35</v>
      </c>
      <c r="H28">
        <f t="shared" si="0"/>
        <v>6.1793785310734466E-3</v>
      </c>
      <c r="I28">
        <f t="shared" si="1"/>
        <v>0.61793785310734461</v>
      </c>
      <c r="J28">
        <v>3500</v>
      </c>
      <c r="K28" s="2">
        <v>500000000000</v>
      </c>
      <c r="L28">
        <v>3497</v>
      </c>
      <c r="M28">
        <v>0</v>
      </c>
      <c r="N28" s="2">
        <v>-20000000000000</v>
      </c>
      <c r="O28" s="2">
        <v>2100000000000</v>
      </c>
      <c r="P28">
        <f t="shared" si="2"/>
        <v>21.828571428571429</v>
      </c>
    </row>
    <row r="29" spans="1:16" x14ac:dyDescent="0.2">
      <c r="A29">
        <v>124</v>
      </c>
      <c r="B29">
        <v>25</v>
      </c>
      <c r="C29">
        <v>2492</v>
      </c>
      <c r="D29">
        <f>(F29-F28)*(1000/3600)+D28</f>
        <v>8880</v>
      </c>
      <c r="E29">
        <f t="shared" si="4"/>
        <v>197</v>
      </c>
      <c r="F29">
        <f t="shared" si="3"/>
        <v>17856</v>
      </c>
      <c r="G29">
        <f t="shared" si="5"/>
        <v>32.833333333333336</v>
      </c>
      <c r="H29">
        <f t="shared" si="0"/>
        <v>1.1032706093189964E-2</v>
      </c>
      <c r="I29">
        <f t="shared" si="1"/>
        <v>1.1032706093189963</v>
      </c>
      <c r="J29">
        <v>3500</v>
      </c>
      <c r="K29" s="2">
        <v>500000000000</v>
      </c>
      <c r="L29">
        <v>3497</v>
      </c>
      <c r="M29">
        <v>0</v>
      </c>
      <c r="N29" s="2">
        <v>-20000000000000</v>
      </c>
      <c r="O29" s="2">
        <v>2100000000000</v>
      </c>
      <c r="P29">
        <f t="shared" si="2"/>
        <v>21.828571428571429</v>
      </c>
    </row>
    <row r="30" spans="1:16" x14ac:dyDescent="0.2">
      <c r="A30">
        <v>131</v>
      </c>
      <c r="B30">
        <v>25</v>
      </c>
      <c r="C30">
        <v>2722</v>
      </c>
      <c r="D30">
        <f>(F30-F29)*(1000/3600)+D29</f>
        <v>9160</v>
      </c>
      <c r="E30">
        <f t="shared" si="4"/>
        <v>230</v>
      </c>
      <c r="F30">
        <f t="shared" si="3"/>
        <v>18864</v>
      </c>
      <c r="G30">
        <f t="shared" si="5"/>
        <v>32.857142857142854</v>
      </c>
      <c r="H30">
        <f t="shared" si="0"/>
        <v>1.2192536047497879E-2</v>
      </c>
      <c r="I30">
        <f t="shared" si="1"/>
        <v>1.2192536047497879</v>
      </c>
      <c r="J30">
        <v>3500</v>
      </c>
      <c r="K30" s="2">
        <v>500000000000</v>
      </c>
      <c r="L30">
        <v>3497</v>
      </c>
      <c r="M30">
        <v>0</v>
      </c>
      <c r="N30" s="2">
        <v>-20000000000000</v>
      </c>
      <c r="O30" s="2">
        <v>2100000000000</v>
      </c>
      <c r="P30">
        <f t="shared" si="2"/>
        <v>21.828571428571429</v>
      </c>
    </row>
    <row r="31" spans="1:16" x14ac:dyDescent="0.2">
      <c r="A31">
        <v>136</v>
      </c>
      <c r="B31">
        <v>25</v>
      </c>
      <c r="C31">
        <v>2876</v>
      </c>
      <c r="D31">
        <f>(F31-F30)*(1000/3600)+D30</f>
        <v>9360</v>
      </c>
      <c r="E31">
        <f t="shared" si="4"/>
        <v>154</v>
      </c>
      <c r="F31">
        <f t="shared" si="3"/>
        <v>19584</v>
      </c>
      <c r="G31">
        <f t="shared" si="5"/>
        <v>30.8</v>
      </c>
      <c r="H31">
        <f t="shared" si="0"/>
        <v>7.8635620915032678E-3</v>
      </c>
      <c r="I31">
        <f t="shared" si="1"/>
        <v>0.78635620915032678</v>
      </c>
      <c r="J31">
        <v>3500</v>
      </c>
      <c r="K31" s="2">
        <v>500000000000</v>
      </c>
      <c r="L31">
        <v>3497</v>
      </c>
      <c r="M31">
        <v>0</v>
      </c>
      <c r="N31" s="2">
        <v>-20000000000000</v>
      </c>
      <c r="O31" s="2">
        <v>2100000000000</v>
      </c>
      <c r="P31">
        <f t="shared" si="2"/>
        <v>21.828571428571429</v>
      </c>
    </row>
    <row r="32" spans="1:16" x14ac:dyDescent="0.2">
      <c r="A32">
        <v>142</v>
      </c>
      <c r="B32">
        <v>25</v>
      </c>
      <c r="C32">
        <v>3028</v>
      </c>
      <c r="D32">
        <v>9360</v>
      </c>
      <c r="E32">
        <f t="shared" si="4"/>
        <v>152</v>
      </c>
      <c r="F32">
        <f t="shared" si="3"/>
        <v>20448</v>
      </c>
      <c r="G32">
        <f t="shared" si="5"/>
        <v>25.333333333333332</v>
      </c>
      <c r="H32">
        <f t="shared" si="0"/>
        <v>7.4334898278560248E-3</v>
      </c>
      <c r="I32">
        <f t="shared" si="1"/>
        <v>0.74334898278560246</v>
      </c>
      <c r="J32">
        <v>3500</v>
      </c>
      <c r="K32" s="2">
        <v>500000000000</v>
      </c>
      <c r="L32">
        <v>3497</v>
      </c>
      <c r="M32">
        <v>0</v>
      </c>
      <c r="N32" s="2">
        <v>-20000000000000</v>
      </c>
      <c r="O32" s="2">
        <v>2100000000000</v>
      </c>
      <c r="P32">
        <f t="shared" si="2"/>
        <v>21.828571428571429</v>
      </c>
    </row>
    <row r="33" spans="1:16" x14ac:dyDescent="0.2">
      <c r="A33">
        <v>147</v>
      </c>
      <c r="B33">
        <v>25</v>
      </c>
      <c r="C33">
        <v>3120</v>
      </c>
      <c r="D33">
        <v>9360</v>
      </c>
      <c r="E33">
        <f t="shared" si="4"/>
        <v>92</v>
      </c>
      <c r="F33">
        <f t="shared" si="3"/>
        <v>21168</v>
      </c>
      <c r="G33">
        <f t="shared" si="5"/>
        <v>18.399999999999999</v>
      </c>
      <c r="H33">
        <f t="shared" si="0"/>
        <v>4.346182917611489E-3</v>
      </c>
      <c r="I33">
        <f t="shared" si="1"/>
        <v>0.43461829176114891</v>
      </c>
      <c r="J33">
        <v>3500</v>
      </c>
      <c r="K33" s="2">
        <v>500000000000</v>
      </c>
      <c r="L33">
        <v>3497</v>
      </c>
      <c r="M33">
        <v>0</v>
      </c>
      <c r="N33" s="2">
        <v>-20000000000000</v>
      </c>
      <c r="O33" s="2">
        <v>2100000000000</v>
      </c>
      <c r="P33">
        <f t="shared" si="2"/>
        <v>21.828571428571429</v>
      </c>
    </row>
    <row r="34" spans="1:16" x14ac:dyDescent="0.2">
      <c r="A34">
        <v>153</v>
      </c>
      <c r="B34">
        <v>25</v>
      </c>
      <c r="C34">
        <v>3207</v>
      </c>
      <c r="D34">
        <v>9360</v>
      </c>
      <c r="E34">
        <f t="shared" si="4"/>
        <v>87</v>
      </c>
      <c r="F34">
        <f t="shared" si="3"/>
        <v>22032</v>
      </c>
      <c r="G34">
        <f t="shared" si="5"/>
        <v>14.5</v>
      </c>
      <c r="H34">
        <f t="shared" si="0"/>
        <v>3.9488017429193901E-3</v>
      </c>
      <c r="I34">
        <f t="shared" si="1"/>
        <v>0.394880174291939</v>
      </c>
      <c r="J34">
        <v>3500</v>
      </c>
      <c r="K34" s="2">
        <v>500000000000</v>
      </c>
      <c r="L34">
        <v>3497</v>
      </c>
      <c r="M34">
        <v>0</v>
      </c>
      <c r="N34" s="2">
        <v>-20000000000000</v>
      </c>
      <c r="O34" s="2">
        <v>2100000000000</v>
      </c>
      <c r="P34">
        <f>(764/3500)*100</f>
        <v>21.828571428571429</v>
      </c>
    </row>
    <row r="35" spans="1:16" x14ac:dyDescent="0.2">
      <c r="A35">
        <v>163</v>
      </c>
      <c r="B35">
        <v>25</v>
      </c>
      <c r="C35">
        <v>3365</v>
      </c>
      <c r="D35">
        <v>9360</v>
      </c>
      <c r="E35">
        <f t="shared" si="4"/>
        <v>158</v>
      </c>
      <c r="F35">
        <f t="shared" si="3"/>
        <v>23472</v>
      </c>
      <c r="G35">
        <f t="shared" si="5"/>
        <v>15.8</v>
      </c>
      <c r="H35">
        <f t="shared" si="0"/>
        <v>6.7314246762099524E-3</v>
      </c>
      <c r="I35">
        <f t="shared" si="1"/>
        <v>0.67314246762099528</v>
      </c>
      <c r="J35">
        <v>3500</v>
      </c>
      <c r="K35" s="2">
        <v>500000000000</v>
      </c>
      <c r="L35">
        <v>3497</v>
      </c>
      <c r="M35">
        <v>0</v>
      </c>
      <c r="N35" s="2">
        <v>-20000000000000</v>
      </c>
      <c r="O35" s="2">
        <v>2100000000000</v>
      </c>
      <c r="P35">
        <f t="shared" si="2"/>
        <v>21.828571428571429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75C4-8912-AE4A-9E2C-6E315D9FAFF4}">
  <dimension ref="A1:P39"/>
  <sheetViews>
    <sheetView topLeftCell="A5" workbookViewId="0">
      <selection activeCell="K2" sqref="K2:P39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C2">
        <v>0.59</v>
      </c>
      <c r="D2">
        <v>8580</v>
      </c>
      <c r="E2" cm="1">
        <f t="array" aca="1" ref="E2" ca="1">E2:G297</f>
        <v>0</v>
      </c>
      <c r="F2" cm="1">
        <f t="array" aca="1" ref="F2" ca="1">F2:H317</f>
        <v>0</v>
      </c>
      <c r="G2">
        <v>0</v>
      </c>
      <c r="H2">
        <v>0</v>
      </c>
      <c r="I2">
        <f>H2*100</f>
        <v>0</v>
      </c>
      <c r="J2">
        <v>3773</v>
      </c>
      <c r="K2" s="2">
        <v>-9000000000000</v>
      </c>
      <c r="L2">
        <v>2970</v>
      </c>
      <c r="M2">
        <v>803</v>
      </c>
      <c r="N2" s="2">
        <v>-20000000000000</v>
      </c>
      <c r="O2" s="2">
        <v>1550000000000</v>
      </c>
      <c r="P2">
        <f>(400/3773)*100</f>
        <v>10.601643254704479</v>
      </c>
    </row>
    <row r="3" spans="1:16" x14ac:dyDescent="0.2">
      <c r="A3">
        <v>5</v>
      </c>
      <c r="B3">
        <v>40</v>
      </c>
      <c r="C3">
        <v>1.42</v>
      </c>
      <c r="D3">
        <v>8570</v>
      </c>
      <c r="E3">
        <f>C3-C2</f>
        <v>0.83</v>
      </c>
      <c r="F3">
        <f>3600/B3*A3</f>
        <v>450</v>
      </c>
      <c r="G3">
        <f>E3/A3</f>
        <v>0.16599999999999998</v>
      </c>
      <c r="H3">
        <f>E3/(3600/B3*A3)</f>
        <v>1.8444444444444443E-3</v>
      </c>
      <c r="I3">
        <f t="shared" ref="I3:I39" si="0">H3*100</f>
        <v>0.18444444444444444</v>
      </c>
      <c r="J3">
        <v>3773</v>
      </c>
      <c r="K3" s="2">
        <v>-9000000000000</v>
      </c>
      <c r="L3">
        <v>2970</v>
      </c>
      <c r="M3">
        <v>803</v>
      </c>
      <c r="N3" s="2">
        <v>-20000000000000</v>
      </c>
      <c r="O3" s="2">
        <v>1550000000000</v>
      </c>
      <c r="P3">
        <f t="shared" ref="P3:P39" si="1">(400/3773)*100</f>
        <v>10.601643254704479</v>
      </c>
    </row>
    <row r="4" spans="1:16" x14ac:dyDescent="0.2">
      <c r="A4">
        <v>10</v>
      </c>
      <c r="B4">
        <v>40</v>
      </c>
      <c r="C4">
        <v>2.2000000000000002</v>
      </c>
      <c r="D4">
        <v>8560</v>
      </c>
      <c r="E4">
        <f>C4-C3</f>
        <v>0.78000000000000025</v>
      </c>
      <c r="F4">
        <f>3600/B4*A4</f>
        <v>900</v>
      </c>
      <c r="G4">
        <f>E4/(A4-A3)</f>
        <v>0.15600000000000006</v>
      </c>
      <c r="H4">
        <f t="shared" ref="H4:H39" si="2">E4/(3600/B4*A4)</f>
        <v>8.6666666666666695E-4</v>
      </c>
      <c r="I4">
        <f t="shared" si="0"/>
        <v>8.6666666666666697E-2</v>
      </c>
      <c r="J4">
        <v>3773</v>
      </c>
      <c r="K4" s="2">
        <v>-9000000000000</v>
      </c>
      <c r="L4">
        <v>2970</v>
      </c>
      <c r="M4">
        <v>803</v>
      </c>
      <c r="N4" s="2">
        <v>-20000000000000</v>
      </c>
      <c r="O4" s="2">
        <v>1550000000000</v>
      </c>
      <c r="P4">
        <f t="shared" si="1"/>
        <v>10.601643254704479</v>
      </c>
    </row>
    <row r="5" spans="1:16" x14ac:dyDescent="0.2">
      <c r="A5">
        <v>12.5</v>
      </c>
      <c r="B5">
        <v>40</v>
      </c>
      <c r="C5">
        <v>2.65</v>
      </c>
      <c r="D5">
        <v>8540</v>
      </c>
      <c r="E5">
        <f>C5-C4</f>
        <v>0.44999999999999973</v>
      </c>
      <c r="F5">
        <f t="shared" ref="F5:F39" si="3">3600/B5*A5</f>
        <v>1125</v>
      </c>
      <c r="G5">
        <f>E5/(A5-A4)</f>
        <v>0.17999999999999988</v>
      </c>
      <c r="H5">
        <f t="shared" si="2"/>
        <v>3.9999999999999975E-4</v>
      </c>
      <c r="I5">
        <f t="shared" si="0"/>
        <v>3.9999999999999973E-2</v>
      </c>
      <c r="J5">
        <v>3773</v>
      </c>
      <c r="K5" s="2">
        <v>-9000000000000</v>
      </c>
      <c r="L5">
        <v>2970</v>
      </c>
      <c r="M5">
        <v>803</v>
      </c>
      <c r="N5" s="2">
        <v>-20000000000000</v>
      </c>
      <c r="O5" s="2">
        <v>1550000000000</v>
      </c>
      <c r="P5">
        <f t="shared" si="1"/>
        <v>10.601643254704479</v>
      </c>
    </row>
    <row r="6" spans="1:16" x14ac:dyDescent="0.2">
      <c r="A6">
        <v>15</v>
      </c>
      <c r="B6">
        <v>40</v>
      </c>
      <c r="C6">
        <v>3.08</v>
      </c>
      <c r="D6">
        <v>8530</v>
      </c>
      <c r="E6">
        <f t="shared" ref="E6:E39" si="4">C6-C5</f>
        <v>0.43000000000000016</v>
      </c>
      <c r="F6">
        <f t="shared" si="3"/>
        <v>1350</v>
      </c>
      <c r="G6">
        <f t="shared" ref="G6:G39" si="5">E6/(A6-A5)</f>
        <v>0.17200000000000007</v>
      </c>
      <c r="H6">
        <f t="shared" si="2"/>
        <v>3.1851851851851865E-4</v>
      </c>
      <c r="I6">
        <f t="shared" si="0"/>
        <v>3.1851851851851867E-2</v>
      </c>
      <c r="J6">
        <v>3773</v>
      </c>
      <c r="K6" s="2">
        <v>-9000000000000</v>
      </c>
      <c r="L6">
        <v>2970</v>
      </c>
      <c r="M6">
        <v>803</v>
      </c>
      <c r="N6" s="2">
        <v>-20000000000000</v>
      </c>
      <c r="O6" s="2">
        <v>1550000000000</v>
      </c>
      <c r="P6">
        <f t="shared" si="1"/>
        <v>10.601643254704479</v>
      </c>
    </row>
    <row r="7" spans="1:16" x14ac:dyDescent="0.2">
      <c r="A7">
        <v>17.5</v>
      </c>
      <c r="B7">
        <v>25</v>
      </c>
      <c r="C7">
        <v>3.65</v>
      </c>
      <c r="D7">
        <v>8520</v>
      </c>
      <c r="E7">
        <f t="shared" si="4"/>
        <v>0.56999999999999984</v>
      </c>
      <c r="F7">
        <f t="shared" si="3"/>
        <v>2520</v>
      </c>
      <c r="G7">
        <f t="shared" si="5"/>
        <v>0.22799999999999992</v>
      </c>
      <c r="H7">
        <f t="shared" si="2"/>
        <v>2.2619047619047613E-4</v>
      </c>
      <c r="I7">
        <f t="shared" si="0"/>
        <v>2.2619047619047612E-2</v>
      </c>
      <c r="J7">
        <v>3773</v>
      </c>
      <c r="K7" s="2">
        <v>-9000000000000</v>
      </c>
      <c r="L7">
        <v>2970</v>
      </c>
      <c r="M7">
        <v>803</v>
      </c>
      <c r="N7" s="2">
        <v>-20000000000000</v>
      </c>
      <c r="O7" s="2">
        <v>1550000000000</v>
      </c>
      <c r="P7">
        <f t="shared" si="1"/>
        <v>10.601643254704479</v>
      </c>
    </row>
    <row r="8" spans="1:16" x14ac:dyDescent="0.2">
      <c r="A8">
        <v>20</v>
      </c>
      <c r="B8">
        <v>25</v>
      </c>
      <c r="C8">
        <v>4.46</v>
      </c>
      <c r="D8">
        <v>8500</v>
      </c>
      <c r="E8">
        <f t="shared" si="4"/>
        <v>0.81</v>
      </c>
      <c r="F8">
        <f t="shared" si="3"/>
        <v>2880</v>
      </c>
      <c r="G8">
        <f t="shared" si="5"/>
        <v>0.32400000000000001</v>
      </c>
      <c r="H8">
        <f t="shared" si="2"/>
        <v>2.8125000000000003E-4</v>
      </c>
      <c r="I8">
        <f t="shared" si="0"/>
        <v>2.8125000000000004E-2</v>
      </c>
      <c r="J8">
        <v>3773</v>
      </c>
      <c r="K8" s="2">
        <v>-9000000000000</v>
      </c>
      <c r="L8">
        <v>2970</v>
      </c>
      <c r="M8">
        <v>803</v>
      </c>
      <c r="N8" s="2">
        <v>-20000000000000</v>
      </c>
      <c r="O8" s="2">
        <v>1550000000000</v>
      </c>
      <c r="P8">
        <f t="shared" si="1"/>
        <v>10.601643254704479</v>
      </c>
    </row>
    <row r="9" spans="1:16" x14ac:dyDescent="0.2">
      <c r="A9">
        <v>25</v>
      </c>
      <c r="B9">
        <v>25</v>
      </c>
      <c r="C9">
        <v>6.79</v>
      </c>
      <c r="D9">
        <v>8480</v>
      </c>
      <c r="E9">
        <f t="shared" si="4"/>
        <v>2.33</v>
      </c>
      <c r="F9">
        <f t="shared" si="3"/>
        <v>3600</v>
      </c>
      <c r="G9">
        <f t="shared" si="5"/>
        <v>0.46600000000000003</v>
      </c>
      <c r="H9">
        <f t="shared" si="2"/>
        <v>6.4722222222222221E-4</v>
      </c>
      <c r="I9">
        <f t="shared" si="0"/>
        <v>6.4722222222222223E-2</v>
      </c>
      <c r="J9">
        <v>3773</v>
      </c>
      <c r="K9" s="2">
        <v>-9000000000000</v>
      </c>
      <c r="L9">
        <v>2970</v>
      </c>
      <c r="M9">
        <v>803</v>
      </c>
      <c r="N9" s="2">
        <v>-20000000000000</v>
      </c>
      <c r="O9" s="2">
        <v>1550000000000</v>
      </c>
      <c r="P9">
        <f t="shared" si="1"/>
        <v>10.601643254704479</v>
      </c>
    </row>
    <row r="10" spans="1:16" x14ac:dyDescent="0.2">
      <c r="A10">
        <v>30</v>
      </c>
      <c r="B10">
        <v>25</v>
      </c>
      <c r="C10">
        <v>10.41</v>
      </c>
      <c r="D10">
        <v>8480</v>
      </c>
      <c r="E10">
        <f t="shared" si="4"/>
        <v>3.62</v>
      </c>
      <c r="F10">
        <f t="shared" si="3"/>
        <v>4320</v>
      </c>
      <c r="G10">
        <f t="shared" si="5"/>
        <v>0.72399999999999998</v>
      </c>
      <c r="H10">
        <f t="shared" si="2"/>
        <v>8.3796296296296299E-4</v>
      </c>
      <c r="I10">
        <f t="shared" si="0"/>
        <v>8.3796296296296299E-2</v>
      </c>
      <c r="J10">
        <v>3773</v>
      </c>
      <c r="K10" s="2">
        <v>-9000000000000</v>
      </c>
      <c r="L10">
        <v>2970</v>
      </c>
      <c r="M10">
        <v>803</v>
      </c>
      <c r="N10" s="2">
        <v>-20000000000000</v>
      </c>
      <c r="O10" s="2">
        <v>1550000000000</v>
      </c>
      <c r="P10">
        <f t="shared" si="1"/>
        <v>10.601643254704479</v>
      </c>
    </row>
    <row r="11" spans="1:16" x14ac:dyDescent="0.2">
      <c r="A11">
        <v>35</v>
      </c>
      <c r="B11">
        <v>25</v>
      </c>
      <c r="C11">
        <v>16.2</v>
      </c>
      <c r="D11">
        <v>8470</v>
      </c>
      <c r="E11">
        <f t="shared" si="4"/>
        <v>5.7899999999999991</v>
      </c>
      <c r="F11">
        <f t="shared" si="3"/>
        <v>5040</v>
      </c>
      <c r="G11">
        <f t="shared" si="5"/>
        <v>1.1579999999999999</v>
      </c>
      <c r="H11">
        <f t="shared" si="2"/>
        <v>1.1488095238095237E-3</v>
      </c>
      <c r="I11">
        <f t="shared" si="0"/>
        <v>0.11488095238095238</v>
      </c>
      <c r="J11">
        <v>3773</v>
      </c>
      <c r="K11" s="2">
        <v>-9000000000000</v>
      </c>
      <c r="L11">
        <v>2970</v>
      </c>
      <c r="M11">
        <v>803</v>
      </c>
      <c r="N11" s="2">
        <v>-20000000000000</v>
      </c>
      <c r="O11" s="2">
        <v>1550000000000</v>
      </c>
      <c r="P11">
        <f t="shared" si="1"/>
        <v>10.601643254704479</v>
      </c>
    </row>
    <row r="12" spans="1:16" x14ac:dyDescent="0.2">
      <c r="A12">
        <v>40</v>
      </c>
      <c r="B12">
        <v>25</v>
      </c>
      <c r="C12">
        <v>25.2</v>
      </c>
      <c r="D12">
        <v>8460</v>
      </c>
      <c r="E12">
        <f t="shared" si="4"/>
        <v>9</v>
      </c>
      <c r="F12">
        <f t="shared" si="3"/>
        <v>5760</v>
      </c>
      <c r="G12">
        <f t="shared" si="5"/>
        <v>1.8</v>
      </c>
      <c r="H12">
        <f t="shared" si="2"/>
        <v>1.5625000000000001E-3</v>
      </c>
      <c r="I12">
        <f t="shared" si="0"/>
        <v>0.15625</v>
      </c>
      <c r="J12">
        <v>3773</v>
      </c>
      <c r="K12" s="2">
        <v>-9000000000000</v>
      </c>
      <c r="L12">
        <v>2970</v>
      </c>
      <c r="M12">
        <v>803</v>
      </c>
      <c r="N12" s="2">
        <v>-20000000000000</v>
      </c>
      <c r="O12" s="2">
        <v>1550000000000</v>
      </c>
      <c r="P12">
        <f t="shared" si="1"/>
        <v>10.601643254704479</v>
      </c>
    </row>
    <row r="13" spans="1:16" x14ac:dyDescent="0.2">
      <c r="A13">
        <v>45</v>
      </c>
      <c r="B13">
        <v>25</v>
      </c>
      <c r="C13">
        <v>45.98</v>
      </c>
      <c r="D13">
        <v>8460</v>
      </c>
      <c r="E13">
        <f t="shared" si="4"/>
        <v>20.779999999999998</v>
      </c>
      <c r="F13">
        <f t="shared" si="3"/>
        <v>6480</v>
      </c>
      <c r="G13">
        <f t="shared" si="5"/>
        <v>4.1559999999999997</v>
      </c>
      <c r="H13">
        <f t="shared" si="2"/>
        <v>3.2067901234567897E-3</v>
      </c>
      <c r="I13">
        <f t="shared" si="0"/>
        <v>0.32067901234567897</v>
      </c>
      <c r="J13">
        <v>3773</v>
      </c>
      <c r="K13" s="2">
        <v>-9000000000000</v>
      </c>
      <c r="L13">
        <v>2970</v>
      </c>
      <c r="M13">
        <v>803</v>
      </c>
      <c r="N13" s="2">
        <v>-20000000000000</v>
      </c>
      <c r="O13" s="2">
        <v>1550000000000</v>
      </c>
      <c r="P13">
        <f t="shared" si="1"/>
        <v>10.601643254704479</v>
      </c>
    </row>
    <row r="14" spans="1:16" x14ac:dyDescent="0.2">
      <c r="A14">
        <v>50</v>
      </c>
      <c r="B14">
        <v>25</v>
      </c>
      <c r="C14">
        <v>61.25</v>
      </c>
      <c r="D14">
        <v>8460</v>
      </c>
      <c r="E14">
        <f t="shared" si="4"/>
        <v>15.270000000000003</v>
      </c>
      <c r="F14">
        <f t="shared" si="3"/>
        <v>7200</v>
      </c>
      <c r="G14">
        <f t="shared" si="5"/>
        <v>3.0540000000000007</v>
      </c>
      <c r="H14">
        <f t="shared" si="2"/>
        <v>2.1208333333333339E-3</v>
      </c>
      <c r="I14">
        <f t="shared" si="0"/>
        <v>0.2120833333333334</v>
      </c>
      <c r="J14">
        <v>3773</v>
      </c>
      <c r="K14" s="2">
        <v>-9000000000000</v>
      </c>
      <c r="L14">
        <v>2970</v>
      </c>
      <c r="M14">
        <v>803</v>
      </c>
      <c r="N14" s="2">
        <v>-20000000000000</v>
      </c>
      <c r="O14" s="2">
        <v>1550000000000</v>
      </c>
      <c r="P14">
        <f t="shared" si="1"/>
        <v>10.601643254704479</v>
      </c>
    </row>
    <row r="15" spans="1:16" x14ac:dyDescent="0.2">
      <c r="A15">
        <v>41.1</v>
      </c>
      <c r="B15">
        <v>25</v>
      </c>
      <c r="C15">
        <v>25.2</v>
      </c>
      <c r="D15">
        <v>8480</v>
      </c>
      <c r="E15">
        <f t="shared" si="4"/>
        <v>-36.049999999999997</v>
      </c>
      <c r="F15">
        <f t="shared" si="3"/>
        <v>5918.4000000000005</v>
      </c>
      <c r="G15">
        <f t="shared" si="5"/>
        <v>4.0505617977528097</v>
      </c>
      <c r="H15">
        <f t="shared" si="2"/>
        <v>-6.0911732900783989E-3</v>
      </c>
      <c r="I15">
        <f t="shared" si="0"/>
        <v>-0.60911732900783988</v>
      </c>
      <c r="J15">
        <v>3773</v>
      </c>
      <c r="K15" s="2">
        <v>-9000000000000</v>
      </c>
      <c r="L15">
        <v>2970</v>
      </c>
      <c r="M15">
        <v>803</v>
      </c>
      <c r="N15" s="2">
        <v>-20000000000000</v>
      </c>
      <c r="O15" s="2">
        <v>1550000000000</v>
      </c>
      <c r="P15">
        <f t="shared" si="1"/>
        <v>10.601643254704479</v>
      </c>
    </row>
    <row r="16" spans="1:16" x14ac:dyDescent="0.2">
      <c r="A16">
        <v>46.1</v>
      </c>
      <c r="B16">
        <v>25</v>
      </c>
      <c r="C16">
        <v>29.11</v>
      </c>
      <c r="D16">
        <v>8480</v>
      </c>
      <c r="E16">
        <f t="shared" si="4"/>
        <v>3.91</v>
      </c>
      <c r="F16">
        <f t="shared" si="3"/>
        <v>6638.4000000000005</v>
      </c>
      <c r="G16">
        <f t="shared" si="5"/>
        <v>0.78200000000000003</v>
      </c>
      <c r="H16">
        <f t="shared" si="2"/>
        <v>5.8899734875873702E-4</v>
      </c>
      <c r="I16">
        <f t="shared" si="0"/>
        <v>5.8899734875873702E-2</v>
      </c>
      <c r="J16">
        <v>3773</v>
      </c>
      <c r="K16" s="2">
        <v>-9000000000000</v>
      </c>
      <c r="L16">
        <v>2970</v>
      </c>
      <c r="M16">
        <v>803</v>
      </c>
      <c r="N16" s="2">
        <v>-20000000000000</v>
      </c>
      <c r="O16" s="2">
        <v>1550000000000</v>
      </c>
      <c r="P16">
        <f t="shared" si="1"/>
        <v>10.601643254704479</v>
      </c>
    </row>
    <row r="17" spans="1:16" x14ac:dyDescent="0.2">
      <c r="A17">
        <v>51.1</v>
      </c>
      <c r="B17">
        <v>25</v>
      </c>
      <c r="C17">
        <v>36.4</v>
      </c>
      <c r="D17">
        <v>8480</v>
      </c>
      <c r="E17">
        <f t="shared" si="4"/>
        <v>7.2899999999999991</v>
      </c>
      <c r="F17">
        <f t="shared" si="3"/>
        <v>7358.4000000000005</v>
      </c>
      <c r="G17">
        <f t="shared" si="5"/>
        <v>1.4579999999999997</v>
      </c>
      <c r="H17">
        <f t="shared" si="2"/>
        <v>9.9070450097847335E-4</v>
      </c>
      <c r="I17">
        <f t="shared" si="0"/>
        <v>9.9070450097847332E-2</v>
      </c>
      <c r="J17">
        <v>3773</v>
      </c>
      <c r="K17" s="2">
        <v>-9000000000000</v>
      </c>
      <c r="L17">
        <v>2970</v>
      </c>
      <c r="M17">
        <v>803</v>
      </c>
      <c r="N17" s="2">
        <v>-20000000000000</v>
      </c>
      <c r="O17" s="2">
        <v>1550000000000</v>
      </c>
      <c r="P17">
        <f t="shared" si="1"/>
        <v>10.601643254704479</v>
      </c>
    </row>
    <row r="18" spans="1:16" x14ac:dyDescent="0.2">
      <c r="A18">
        <v>56.1</v>
      </c>
      <c r="B18">
        <v>25</v>
      </c>
      <c r="C18">
        <v>54.2</v>
      </c>
      <c r="D18">
        <v>8480</v>
      </c>
      <c r="E18">
        <f t="shared" si="4"/>
        <v>17.800000000000004</v>
      </c>
      <c r="F18">
        <f t="shared" si="3"/>
        <v>8078.4000000000005</v>
      </c>
      <c r="G18">
        <f t="shared" si="5"/>
        <v>3.5600000000000009</v>
      </c>
      <c r="H18">
        <f t="shared" si="2"/>
        <v>2.2034066151713216E-3</v>
      </c>
      <c r="I18">
        <f t="shared" si="0"/>
        <v>0.22034066151713216</v>
      </c>
      <c r="J18">
        <v>3773</v>
      </c>
      <c r="K18" s="2">
        <v>-9000000000000</v>
      </c>
      <c r="L18">
        <v>2970</v>
      </c>
      <c r="M18">
        <v>803</v>
      </c>
      <c r="N18" s="2">
        <v>-20000000000000</v>
      </c>
      <c r="O18" s="2">
        <v>1550000000000</v>
      </c>
      <c r="P18">
        <f t="shared" si="1"/>
        <v>10.601643254704479</v>
      </c>
    </row>
    <row r="19" spans="1:16" x14ac:dyDescent="0.2">
      <c r="A19">
        <v>60</v>
      </c>
      <c r="B19">
        <v>25</v>
      </c>
      <c r="C19">
        <v>70.5</v>
      </c>
      <c r="D19">
        <v>8480</v>
      </c>
      <c r="E19">
        <f t="shared" si="4"/>
        <v>16.299999999999997</v>
      </c>
      <c r="F19">
        <f t="shared" si="3"/>
        <v>8640</v>
      </c>
      <c r="G19">
        <f t="shared" si="5"/>
        <v>4.1794871794871806</v>
      </c>
      <c r="H19">
        <f t="shared" si="2"/>
        <v>1.8865740740740737E-3</v>
      </c>
      <c r="I19">
        <f t="shared" si="0"/>
        <v>0.18865740740740738</v>
      </c>
      <c r="J19">
        <v>3773</v>
      </c>
      <c r="K19" s="2">
        <v>-9000000000000</v>
      </c>
      <c r="L19">
        <v>2970</v>
      </c>
      <c r="M19">
        <v>803</v>
      </c>
      <c r="N19" s="2">
        <v>-20000000000000</v>
      </c>
      <c r="O19" s="2">
        <v>1550000000000</v>
      </c>
      <c r="P19">
        <f t="shared" si="1"/>
        <v>10.601643254704479</v>
      </c>
    </row>
    <row r="20" spans="1:16" x14ac:dyDescent="0.2">
      <c r="A20">
        <v>65</v>
      </c>
      <c r="B20">
        <v>25</v>
      </c>
      <c r="C20">
        <v>99.1</v>
      </c>
      <c r="D20">
        <v>8480</v>
      </c>
      <c r="E20">
        <f t="shared" si="4"/>
        <v>28.599999999999994</v>
      </c>
      <c r="F20">
        <f t="shared" si="3"/>
        <v>9360</v>
      </c>
      <c r="G20">
        <f t="shared" si="5"/>
        <v>5.7199999999999989</v>
      </c>
      <c r="H20">
        <f t="shared" si="2"/>
        <v>3.0555555555555548E-3</v>
      </c>
      <c r="I20">
        <f t="shared" si="0"/>
        <v>0.30555555555555547</v>
      </c>
      <c r="J20">
        <v>3773</v>
      </c>
      <c r="K20" s="2">
        <v>-9000000000000</v>
      </c>
      <c r="L20">
        <v>2970</v>
      </c>
      <c r="M20">
        <v>803</v>
      </c>
      <c r="N20" s="2">
        <v>-20000000000000</v>
      </c>
      <c r="O20" s="2">
        <v>1550000000000</v>
      </c>
      <c r="P20">
        <f t="shared" si="1"/>
        <v>10.601643254704479</v>
      </c>
    </row>
    <row r="21" spans="1:16" x14ac:dyDescent="0.2">
      <c r="A21">
        <v>73</v>
      </c>
      <c r="B21">
        <v>25</v>
      </c>
      <c r="C21">
        <v>176.5</v>
      </c>
      <c r="D21">
        <v>8480</v>
      </c>
      <c r="E21">
        <f t="shared" si="4"/>
        <v>77.400000000000006</v>
      </c>
      <c r="F21">
        <f t="shared" si="3"/>
        <v>10512</v>
      </c>
      <c r="G21">
        <f t="shared" si="5"/>
        <v>9.6750000000000007</v>
      </c>
      <c r="H21">
        <f t="shared" si="2"/>
        <v>7.3630136986301371E-3</v>
      </c>
      <c r="I21">
        <f t="shared" si="0"/>
        <v>0.73630136986301375</v>
      </c>
      <c r="J21">
        <v>3773</v>
      </c>
      <c r="K21" s="2">
        <v>-9000000000000</v>
      </c>
      <c r="L21">
        <v>2970</v>
      </c>
      <c r="M21">
        <v>803</v>
      </c>
      <c r="N21" s="2">
        <v>-20000000000000</v>
      </c>
      <c r="O21" s="2">
        <v>1550000000000</v>
      </c>
      <c r="P21">
        <f t="shared" si="1"/>
        <v>10.601643254704479</v>
      </c>
    </row>
    <row r="22" spans="1:16" x14ac:dyDescent="0.2">
      <c r="A22">
        <v>77</v>
      </c>
      <c r="B22">
        <v>25</v>
      </c>
      <c r="C22">
        <v>230</v>
      </c>
      <c r="D22">
        <v>8600</v>
      </c>
      <c r="E22">
        <f t="shared" si="4"/>
        <v>53.5</v>
      </c>
      <c r="F22">
        <f t="shared" si="3"/>
        <v>11088</v>
      </c>
      <c r="G22">
        <f t="shared" si="5"/>
        <v>13.375</v>
      </c>
      <c r="H22">
        <f t="shared" si="2"/>
        <v>4.825036075036075E-3</v>
      </c>
      <c r="I22">
        <f t="shared" si="0"/>
        <v>0.48250360750360749</v>
      </c>
      <c r="J22">
        <v>3773</v>
      </c>
      <c r="K22" s="2">
        <v>-9000000000000</v>
      </c>
      <c r="L22">
        <v>2970</v>
      </c>
      <c r="M22">
        <v>803</v>
      </c>
      <c r="N22" s="2">
        <v>-20000000000000</v>
      </c>
      <c r="O22" s="2">
        <v>1550000000000</v>
      </c>
      <c r="P22">
        <f t="shared" si="1"/>
        <v>10.601643254704479</v>
      </c>
    </row>
    <row r="23" spans="1:16" x14ac:dyDescent="0.2">
      <c r="A23">
        <v>79</v>
      </c>
      <c r="B23">
        <v>25</v>
      </c>
      <c r="C23">
        <v>286</v>
      </c>
      <c r="D23">
        <v>8600</v>
      </c>
      <c r="E23">
        <f t="shared" si="4"/>
        <v>56</v>
      </c>
      <c r="F23">
        <f t="shared" si="3"/>
        <v>11376</v>
      </c>
      <c r="G23">
        <f t="shared" si="5"/>
        <v>28</v>
      </c>
      <c r="H23">
        <f t="shared" si="2"/>
        <v>4.9226441631504926E-3</v>
      </c>
      <c r="I23">
        <f t="shared" si="0"/>
        <v>0.49226441631504925</v>
      </c>
      <c r="J23">
        <v>3773</v>
      </c>
      <c r="K23" s="2">
        <v>-9000000000000</v>
      </c>
      <c r="L23">
        <v>2970</v>
      </c>
      <c r="M23">
        <v>803</v>
      </c>
      <c r="N23" s="2">
        <v>-20000000000000</v>
      </c>
      <c r="O23" s="2">
        <v>1550000000000</v>
      </c>
      <c r="P23">
        <f t="shared" si="1"/>
        <v>10.601643254704479</v>
      </c>
    </row>
    <row r="24" spans="1:16" x14ac:dyDescent="0.2">
      <c r="A24">
        <v>84</v>
      </c>
      <c r="B24">
        <v>25</v>
      </c>
      <c r="C24">
        <v>415</v>
      </c>
      <c r="D24">
        <v>8580</v>
      </c>
      <c r="E24">
        <f t="shared" si="4"/>
        <v>129</v>
      </c>
      <c r="F24">
        <f t="shared" si="3"/>
        <v>12096</v>
      </c>
      <c r="G24">
        <f t="shared" si="5"/>
        <v>25.8</v>
      </c>
      <c r="H24">
        <f t="shared" si="2"/>
        <v>1.066468253968254E-2</v>
      </c>
      <c r="I24">
        <f t="shared" si="0"/>
        <v>1.066468253968254</v>
      </c>
      <c r="J24">
        <v>3773</v>
      </c>
      <c r="K24" s="2">
        <v>-9000000000000</v>
      </c>
      <c r="L24">
        <v>2970</v>
      </c>
      <c r="M24">
        <v>803</v>
      </c>
      <c r="N24" s="2">
        <v>-20000000000000</v>
      </c>
      <c r="O24" s="2">
        <v>1550000000000</v>
      </c>
      <c r="P24">
        <f t="shared" si="1"/>
        <v>10.601643254704479</v>
      </c>
    </row>
    <row r="25" spans="1:16" x14ac:dyDescent="0.2">
      <c r="A25">
        <v>90</v>
      </c>
      <c r="B25">
        <v>25</v>
      </c>
      <c r="C25">
        <v>579</v>
      </c>
      <c r="D25">
        <v>8580</v>
      </c>
      <c r="E25">
        <f t="shared" si="4"/>
        <v>164</v>
      </c>
      <c r="F25">
        <f t="shared" si="3"/>
        <v>12960</v>
      </c>
      <c r="G25">
        <f t="shared" si="5"/>
        <v>27.333333333333332</v>
      </c>
      <c r="H25">
        <f t="shared" si="2"/>
        <v>1.2654320987654321E-2</v>
      </c>
      <c r="I25">
        <f t="shared" si="0"/>
        <v>1.2654320987654322</v>
      </c>
      <c r="J25">
        <v>3773</v>
      </c>
      <c r="K25" s="2">
        <v>-9000000000000</v>
      </c>
      <c r="L25">
        <v>2970</v>
      </c>
      <c r="M25">
        <v>803</v>
      </c>
      <c r="N25" s="2">
        <v>-20000000000000</v>
      </c>
      <c r="O25" s="2">
        <v>1550000000000</v>
      </c>
      <c r="P25">
        <f t="shared" si="1"/>
        <v>10.601643254704479</v>
      </c>
    </row>
    <row r="26" spans="1:16" x14ac:dyDescent="0.2">
      <c r="A26">
        <v>95</v>
      </c>
      <c r="B26">
        <v>25</v>
      </c>
      <c r="C26">
        <v>745</v>
      </c>
      <c r="D26">
        <v>8580</v>
      </c>
      <c r="E26">
        <f t="shared" si="4"/>
        <v>166</v>
      </c>
      <c r="F26">
        <f t="shared" si="3"/>
        <v>13680</v>
      </c>
      <c r="G26">
        <f t="shared" si="5"/>
        <v>33.200000000000003</v>
      </c>
      <c r="H26">
        <f t="shared" si="2"/>
        <v>1.2134502923976609E-2</v>
      </c>
      <c r="I26">
        <f t="shared" si="0"/>
        <v>1.2134502923976609</v>
      </c>
      <c r="J26">
        <v>3773</v>
      </c>
      <c r="K26" s="2">
        <v>-9000000000000</v>
      </c>
      <c r="L26">
        <v>2970</v>
      </c>
      <c r="M26">
        <v>803</v>
      </c>
      <c r="N26" s="2">
        <v>-20000000000000</v>
      </c>
      <c r="O26" s="2">
        <v>1550000000000</v>
      </c>
      <c r="P26">
        <f t="shared" si="1"/>
        <v>10.601643254704479</v>
      </c>
    </row>
    <row r="27" spans="1:16" x14ac:dyDescent="0.2">
      <c r="A27">
        <v>100</v>
      </c>
      <c r="B27">
        <v>25</v>
      </c>
      <c r="C27">
        <v>924</v>
      </c>
      <c r="D27">
        <v>8580</v>
      </c>
      <c r="E27">
        <f t="shared" si="4"/>
        <v>179</v>
      </c>
      <c r="F27">
        <f t="shared" si="3"/>
        <v>14400</v>
      </c>
      <c r="G27">
        <f t="shared" si="5"/>
        <v>35.799999999999997</v>
      </c>
      <c r="H27">
        <f t="shared" si="2"/>
        <v>1.2430555555555556E-2</v>
      </c>
      <c r="I27">
        <f t="shared" si="0"/>
        <v>1.2430555555555556</v>
      </c>
      <c r="J27">
        <v>3773</v>
      </c>
      <c r="K27" s="2">
        <v>-9000000000000</v>
      </c>
      <c r="L27">
        <v>2970</v>
      </c>
      <c r="M27">
        <v>803</v>
      </c>
      <c r="N27" s="2">
        <v>-20000000000000</v>
      </c>
      <c r="O27" s="2">
        <v>1550000000000</v>
      </c>
      <c r="P27">
        <f t="shared" si="1"/>
        <v>10.601643254704479</v>
      </c>
    </row>
    <row r="28" spans="1:16" x14ac:dyDescent="0.2">
      <c r="A28">
        <v>111.1</v>
      </c>
      <c r="B28">
        <v>25</v>
      </c>
      <c r="C28">
        <v>1343</v>
      </c>
      <c r="D28">
        <v>8580</v>
      </c>
      <c r="E28">
        <f t="shared" si="4"/>
        <v>419</v>
      </c>
      <c r="F28">
        <f t="shared" si="3"/>
        <v>15998.4</v>
      </c>
      <c r="G28">
        <f t="shared" si="5"/>
        <v>37.747747747747766</v>
      </c>
      <c r="H28">
        <f t="shared" si="2"/>
        <v>2.619011901190119E-2</v>
      </c>
      <c r="I28">
        <f t="shared" si="0"/>
        <v>2.619011901190119</v>
      </c>
      <c r="J28">
        <v>3773</v>
      </c>
      <c r="K28" s="2">
        <v>-9000000000000</v>
      </c>
      <c r="L28">
        <v>2970</v>
      </c>
      <c r="M28">
        <v>803</v>
      </c>
      <c r="N28" s="2">
        <v>-20000000000000</v>
      </c>
      <c r="O28" s="2">
        <v>1550000000000</v>
      </c>
      <c r="P28">
        <f t="shared" si="1"/>
        <v>10.601643254704479</v>
      </c>
    </row>
    <row r="29" spans="1:16" x14ac:dyDescent="0.2">
      <c r="A29">
        <v>121</v>
      </c>
      <c r="B29">
        <v>25</v>
      </c>
      <c r="C29">
        <v>1705</v>
      </c>
      <c r="D29">
        <v>8580</v>
      </c>
      <c r="E29">
        <f t="shared" si="4"/>
        <v>362</v>
      </c>
      <c r="F29">
        <f t="shared" si="3"/>
        <v>17424</v>
      </c>
      <c r="G29">
        <f t="shared" si="5"/>
        <v>36.565656565656546</v>
      </c>
      <c r="H29">
        <f t="shared" si="2"/>
        <v>2.0775941230486684E-2</v>
      </c>
      <c r="I29">
        <f t="shared" si="0"/>
        <v>2.0775941230486685</v>
      </c>
      <c r="J29">
        <v>3773</v>
      </c>
      <c r="K29" s="2">
        <v>-9000000000000</v>
      </c>
      <c r="L29">
        <v>2970</v>
      </c>
      <c r="M29">
        <v>803</v>
      </c>
      <c r="N29" s="2">
        <v>-20000000000000</v>
      </c>
      <c r="O29" s="2">
        <v>1550000000000</v>
      </c>
      <c r="P29">
        <f t="shared" si="1"/>
        <v>10.601643254704479</v>
      </c>
    </row>
    <row r="30" spans="1:16" x14ac:dyDescent="0.2">
      <c r="A30">
        <v>131</v>
      </c>
      <c r="B30">
        <v>25</v>
      </c>
      <c r="C30">
        <v>2050</v>
      </c>
      <c r="D30">
        <v>8580</v>
      </c>
      <c r="E30">
        <f t="shared" si="4"/>
        <v>345</v>
      </c>
      <c r="F30">
        <f t="shared" si="3"/>
        <v>18864</v>
      </c>
      <c r="G30">
        <f t="shared" si="5"/>
        <v>34.5</v>
      </c>
      <c r="H30">
        <f t="shared" si="2"/>
        <v>1.828880407124682E-2</v>
      </c>
      <c r="I30">
        <f t="shared" si="0"/>
        <v>1.828880407124682</v>
      </c>
      <c r="J30">
        <v>3773</v>
      </c>
      <c r="K30" s="2">
        <v>-9000000000000</v>
      </c>
      <c r="L30">
        <v>2970</v>
      </c>
      <c r="M30">
        <v>803</v>
      </c>
      <c r="N30" s="2">
        <v>-20000000000000</v>
      </c>
      <c r="O30" s="2">
        <v>1550000000000</v>
      </c>
      <c r="P30">
        <f t="shared" si="1"/>
        <v>10.601643254704479</v>
      </c>
    </row>
    <row r="31" spans="1:16" x14ac:dyDescent="0.2">
      <c r="A31">
        <v>140</v>
      </c>
      <c r="B31">
        <v>25</v>
      </c>
      <c r="C31">
        <v>2358</v>
      </c>
      <c r="D31">
        <v>8580</v>
      </c>
      <c r="E31">
        <f t="shared" si="4"/>
        <v>308</v>
      </c>
      <c r="F31">
        <f t="shared" si="3"/>
        <v>20160</v>
      </c>
      <c r="G31">
        <f t="shared" si="5"/>
        <v>34.222222222222221</v>
      </c>
      <c r="H31">
        <f t="shared" si="2"/>
        <v>1.5277777777777777E-2</v>
      </c>
      <c r="I31">
        <f t="shared" si="0"/>
        <v>1.5277777777777777</v>
      </c>
      <c r="J31">
        <v>3773</v>
      </c>
      <c r="K31" s="2">
        <v>-9000000000000</v>
      </c>
      <c r="L31">
        <v>2970</v>
      </c>
      <c r="M31">
        <v>803</v>
      </c>
      <c r="N31" s="2">
        <v>-20000000000000</v>
      </c>
      <c r="O31" s="2">
        <v>1550000000000</v>
      </c>
      <c r="P31">
        <f t="shared" si="1"/>
        <v>10.601643254704479</v>
      </c>
    </row>
    <row r="32" spans="1:16" x14ac:dyDescent="0.2">
      <c r="A32">
        <v>149</v>
      </c>
      <c r="B32">
        <v>25</v>
      </c>
      <c r="C32">
        <v>2670</v>
      </c>
      <c r="D32">
        <v>8580</v>
      </c>
      <c r="E32">
        <f t="shared" si="4"/>
        <v>312</v>
      </c>
      <c r="F32">
        <f t="shared" si="3"/>
        <v>21456</v>
      </c>
      <c r="G32">
        <f t="shared" si="5"/>
        <v>34.666666666666664</v>
      </c>
      <c r="H32">
        <f t="shared" si="2"/>
        <v>1.45413870246085E-2</v>
      </c>
      <c r="I32">
        <f t="shared" si="0"/>
        <v>1.4541387024608501</v>
      </c>
      <c r="J32">
        <v>3773</v>
      </c>
      <c r="K32" s="2">
        <v>-9000000000000</v>
      </c>
      <c r="L32">
        <v>2970</v>
      </c>
      <c r="M32">
        <v>803</v>
      </c>
      <c r="N32" s="2">
        <v>-20000000000000</v>
      </c>
      <c r="O32" s="2">
        <v>1550000000000</v>
      </c>
      <c r="P32">
        <f t="shared" si="1"/>
        <v>10.601643254704479</v>
      </c>
    </row>
    <row r="33" spans="1:16" x14ac:dyDescent="0.2">
      <c r="A33">
        <v>150</v>
      </c>
      <c r="B33">
        <v>25</v>
      </c>
      <c r="C33">
        <v>2701</v>
      </c>
      <c r="D33">
        <f>(F33-F32)*(1000/3600)+D32</f>
        <v>8620</v>
      </c>
      <c r="E33">
        <f t="shared" si="4"/>
        <v>31</v>
      </c>
      <c r="F33">
        <f t="shared" si="3"/>
        <v>21600</v>
      </c>
      <c r="G33">
        <f t="shared" si="5"/>
        <v>31</v>
      </c>
      <c r="H33">
        <f t="shared" si="2"/>
        <v>1.4351851851851852E-3</v>
      </c>
      <c r="I33">
        <f t="shared" si="0"/>
        <v>0.14351851851851852</v>
      </c>
      <c r="J33">
        <v>3773</v>
      </c>
      <c r="K33" s="2">
        <v>-9000000000000</v>
      </c>
      <c r="L33">
        <v>2970</v>
      </c>
      <c r="M33">
        <v>803</v>
      </c>
      <c r="N33" s="2">
        <v>-20000000000000</v>
      </c>
      <c r="O33" s="2">
        <v>1550000000000</v>
      </c>
      <c r="P33">
        <f t="shared" si="1"/>
        <v>10.601643254704479</v>
      </c>
    </row>
    <row r="34" spans="1:16" x14ac:dyDescent="0.2">
      <c r="A34">
        <v>155</v>
      </c>
      <c r="B34">
        <v>25</v>
      </c>
      <c r="C34">
        <v>2891</v>
      </c>
      <c r="D34">
        <f>(F34-F33)*(1000/3600)+D33</f>
        <v>8820</v>
      </c>
      <c r="E34">
        <f t="shared" si="4"/>
        <v>190</v>
      </c>
      <c r="F34">
        <f t="shared" si="3"/>
        <v>22320</v>
      </c>
      <c r="G34">
        <f t="shared" si="5"/>
        <v>38</v>
      </c>
      <c r="H34">
        <f t="shared" si="2"/>
        <v>8.512544802867384E-3</v>
      </c>
      <c r="I34">
        <f t="shared" si="0"/>
        <v>0.85125448028673845</v>
      </c>
      <c r="J34">
        <v>3773</v>
      </c>
      <c r="K34" s="2">
        <v>-9000000000000</v>
      </c>
      <c r="L34">
        <v>2970</v>
      </c>
      <c r="M34">
        <v>803</v>
      </c>
      <c r="N34" s="2">
        <v>-20000000000000</v>
      </c>
      <c r="O34" s="2">
        <v>1550000000000</v>
      </c>
      <c r="P34">
        <f t="shared" si="1"/>
        <v>10.601643254704479</v>
      </c>
    </row>
    <row r="35" spans="1:16" x14ac:dyDescent="0.2">
      <c r="A35">
        <v>160</v>
      </c>
      <c r="B35">
        <v>25</v>
      </c>
      <c r="C35">
        <v>3101</v>
      </c>
      <c r="D35">
        <f>(F35-F34)*(1000/3600)+D34</f>
        <v>9020</v>
      </c>
      <c r="E35">
        <f t="shared" si="4"/>
        <v>210</v>
      </c>
      <c r="F35">
        <f t="shared" si="3"/>
        <v>23040</v>
      </c>
      <c r="G35">
        <f t="shared" si="5"/>
        <v>42</v>
      </c>
      <c r="H35">
        <f t="shared" si="2"/>
        <v>9.1145833333333339E-3</v>
      </c>
      <c r="I35">
        <f t="shared" si="0"/>
        <v>0.91145833333333337</v>
      </c>
      <c r="J35">
        <v>3773</v>
      </c>
      <c r="K35" s="2">
        <v>-9000000000000</v>
      </c>
      <c r="L35">
        <v>2970</v>
      </c>
      <c r="M35">
        <v>803</v>
      </c>
      <c r="N35" s="2">
        <v>-20000000000000</v>
      </c>
      <c r="O35" s="2">
        <v>1550000000000</v>
      </c>
      <c r="P35">
        <f t="shared" si="1"/>
        <v>10.601643254704479</v>
      </c>
    </row>
    <row r="36" spans="1:16" x14ac:dyDescent="0.2">
      <c r="A36">
        <v>166.8</v>
      </c>
      <c r="B36">
        <v>25</v>
      </c>
      <c r="C36">
        <v>3470</v>
      </c>
      <c r="D36">
        <f>(F36-F35)*(1000/3600)+D35</f>
        <v>9292</v>
      </c>
      <c r="E36">
        <f t="shared" si="4"/>
        <v>369</v>
      </c>
      <c r="F36">
        <f t="shared" si="3"/>
        <v>24019.200000000001</v>
      </c>
      <c r="G36">
        <f t="shared" si="5"/>
        <v>54.26470588235285</v>
      </c>
      <c r="H36">
        <f t="shared" si="2"/>
        <v>1.5362709832134292E-2</v>
      </c>
      <c r="I36">
        <f t="shared" si="0"/>
        <v>1.5362709832134291</v>
      </c>
      <c r="J36">
        <v>3773</v>
      </c>
      <c r="K36" s="2">
        <v>-9000000000000</v>
      </c>
      <c r="L36">
        <v>2970</v>
      </c>
      <c r="M36">
        <v>803</v>
      </c>
      <c r="N36" s="2">
        <v>-20000000000000</v>
      </c>
      <c r="O36" s="2">
        <v>1550000000000</v>
      </c>
      <c r="P36">
        <f t="shared" si="1"/>
        <v>10.601643254704479</v>
      </c>
    </row>
    <row r="37" spans="1:16" x14ac:dyDescent="0.2">
      <c r="A37">
        <v>168.3</v>
      </c>
      <c r="B37">
        <v>25</v>
      </c>
      <c r="C37">
        <v>3650</v>
      </c>
      <c r="D37">
        <f>(F37-F36)*(1000/3600)+D36</f>
        <v>9352</v>
      </c>
      <c r="E37">
        <f t="shared" si="4"/>
        <v>180</v>
      </c>
      <c r="F37">
        <f t="shared" si="3"/>
        <v>24235.200000000001</v>
      </c>
      <c r="G37">
        <f t="shared" si="5"/>
        <v>120</v>
      </c>
      <c r="H37">
        <f t="shared" si="2"/>
        <v>7.4272133095662505E-3</v>
      </c>
      <c r="I37">
        <f t="shared" si="0"/>
        <v>0.74272133095662507</v>
      </c>
      <c r="J37">
        <v>3773</v>
      </c>
      <c r="K37" s="2">
        <v>-9000000000000</v>
      </c>
      <c r="L37">
        <v>2970</v>
      </c>
      <c r="M37">
        <v>803</v>
      </c>
      <c r="N37" s="2">
        <v>-20000000000000</v>
      </c>
      <c r="O37" s="2">
        <v>1550000000000</v>
      </c>
      <c r="P37">
        <f t="shared" si="1"/>
        <v>10.601643254704479</v>
      </c>
    </row>
    <row r="38" spans="1:16" x14ac:dyDescent="0.2">
      <c r="A38">
        <v>171.4</v>
      </c>
      <c r="B38">
        <v>25</v>
      </c>
      <c r="C38">
        <v>3700</v>
      </c>
      <c r="D38">
        <v>9352</v>
      </c>
      <c r="E38">
        <f t="shared" si="4"/>
        <v>50</v>
      </c>
      <c r="F38">
        <f t="shared" si="3"/>
        <v>24681.600000000002</v>
      </c>
      <c r="G38">
        <f t="shared" si="5"/>
        <v>16.129032258064544</v>
      </c>
      <c r="H38">
        <f t="shared" si="2"/>
        <v>2.0258005963956953E-3</v>
      </c>
      <c r="I38">
        <f t="shared" si="0"/>
        <v>0.20258005963956954</v>
      </c>
      <c r="J38">
        <v>3773</v>
      </c>
      <c r="K38" s="2">
        <v>-9000000000000</v>
      </c>
      <c r="L38">
        <v>2970</v>
      </c>
      <c r="M38">
        <v>803</v>
      </c>
      <c r="N38" s="2">
        <v>-20000000000000</v>
      </c>
      <c r="O38" s="2">
        <v>1550000000000</v>
      </c>
      <c r="P38">
        <f t="shared" si="1"/>
        <v>10.601643254704479</v>
      </c>
    </row>
    <row r="39" spans="1:16" x14ac:dyDescent="0.2">
      <c r="A39">
        <v>174</v>
      </c>
      <c r="B39">
        <v>25</v>
      </c>
      <c r="C39">
        <v>3752</v>
      </c>
      <c r="D39">
        <v>9352</v>
      </c>
      <c r="E39">
        <f t="shared" si="4"/>
        <v>52</v>
      </c>
      <c r="F39">
        <f t="shared" si="3"/>
        <v>25056</v>
      </c>
      <c r="G39">
        <f t="shared" si="5"/>
        <v>20.000000000000043</v>
      </c>
      <c r="H39">
        <f t="shared" si="2"/>
        <v>2.0753512132822478E-3</v>
      </c>
      <c r="I39">
        <f t="shared" si="0"/>
        <v>0.20753512132822477</v>
      </c>
      <c r="J39">
        <v>3773</v>
      </c>
      <c r="K39" s="2">
        <v>-9000000000000</v>
      </c>
      <c r="L39">
        <v>2970</v>
      </c>
      <c r="M39">
        <v>803</v>
      </c>
      <c r="N39" s="2">
        <v>-20000000000000</v>
      </c>
      <c r="O39" s="2">
        <v>1550000000000</v>
      </c>
      <c r="P39">
        <f t="shared" si="1"/>
        <v>10.601643254704479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3107-D846-404E-BF7A-E7C7586D2BAB}">
  <dimension ref="A1:P27"/>
  <sheetViews>
    <sheetView topLeftCell="I23" workbookViewId="0">
      <selection activeCell="J2" sqref="J2:P27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C2">
        <v>-0.53</v>
      </c>
      <c r="D2">
        <v>8760</v>
      </c>
      <c r="E2" cm="1">
        <f t="array" aca="1" ref="E2" ca="1">E2:G297</f>
        <v>0</v>
      </c>
      <c r="F2" cm="1">
        <f t="array" aca="1" ref="F2" ca="1">F2:H317</f>
        <v>0</v>
      </c>
      <c r="G2">
        <v>0</v>
      </c>
      <c r="H2">
        <v>0</v>
      </c>
      <c r="I2">
        <f>H2*100</f>
        <v>0</v>
      </c>
      <c r="J2">
        <v>4002</v>
      </c>
      <c r="K2" s="2">
        <v>400000000000</v>
      </c>
      <c r="L2">
        <v>2120</v>
      </c>
      <c r="M2">
        <v>1882</v>
      </c>
      <c r="N2" s="2">
        <v>-20000000000000</v>
      </c>
      <c r="O2" s="2">
        <v>-300000000000</v>
      </c>
      <c r="P2">
        <f>(50/4002)*100</f>
        <v>1.249375312343828</v>
      </c>
    </row>
    <row r="3" spans="1:16" x14ac:dyDescent="0.2">
      <c r="A3">
        <v>5</v>
      </c>
      <c r="B3">
        <v>40</v>
      </c>
      <c r="C3">
        <v>-0.3</v>
      </c>
      <c r="D3">
        <v>8760</v>
      </c>
      <c r="E3">
        <f>C3-C2</f>
        <v>0.23000000000000004</v>
      </c>
      <c r="F3">
        <f>3600/B3*A3</f>
        <v>450</v>
      </c>
      <c r="G3">
        <f>E3/A3</f>
        <v>4.6000000000000006E-2</v>
      </c>
      <c r="H3">
        <f>E3/(3600/B3*A3)</f>
        <v>5.1111111111111116E-4</v>
      </c>
      <c r="I3">
        <f t="shared" ref="I3:I27" si="0">H3*100</f>
        <v>5.1111111111111114E-2</v>
      </c>
      <c r="J3">
        <v>4002</v>
      </c>
      <c r="K3" s="2">
        <v>400000000000</v>
      </c>
      <c r="L3">
        <v>2120</v>
      </c>
      <c r="M3">
        <v>1882</v>
      </c>
      <c r="N3" s="2">
        <v>-20000000000000</v>
      </c>
      <c r="O3" s="2">
        <v>-300000000000</v>
      </c>
      <c r="P3">
        <f t="shared" ref="P3:P27" si="1">(50/4002)*100</f>
        <v>1.249375312343828</v>
      </c>
    </row>
    <row r="4" spans="1:16" x14ac:dyDescent="0.2">
      <c r="A4">
        <v>10</v>
      </c>
      <c r="B4">
        <v>40</v>
      </c>
      <c r="C4">
        <v>-0.18</v>
      </c>
      <c r="D4">
        <v>8760</v>
      </c>
      <c r="E4">
        <f>C4-C3</f>
        <v>0.12</v>
      </c>
      <c r="F4">
        <f>3600/B4*A4</f>
        <v>900</v>
      </c>
      <c r="G4">
        <f>E4/(A4-A3)</f>
        <v>2.4E-2</v>
      </c>
      <c r="H4">
        <f t="shared" ref="H4:H27" si="2">E4/(3600/B4*A4)</f>
        <v>1.3333333333333334E-4</v>
      </c>
      <c r="I4">
        <f t="shared" si="0"/>
        <v>1.3333333333333334E-2</v>
      </c>
      <c r="J4">
        <v>4002</v>
      </c>
      <c r="K4" s="2">
        <v>400000000000</v>
      </c>
      <c r="L4">
        <v>2120</v>
      </c>
      <c r="M4">
        <v>1882</v>
      </c>
      <c r="N4" s="2">
        <v>-20000000000000</v>
      </c>
      <c r="O4" s="2">
        <v>-300000000000</v>
      </c>
      <c r="P4">
        <f t="shared" si="1"/>
        <v>1.249375312343828</v>
      </c>
    </row>
    <row r="5" spans="1:16" x14ac:dyDescent="0.2">
      <c r="A5">
        <v>15</v>
      </c>
      <c r="B5">
        <v>25</v>
      </c>
      <c r="C5">
        <v>0.08</v>
      </c>
      <c r="D5">
        <v>8740</v>
      </c>
      <c r="E5">
        <f>C5-C4</f>
        <v>0.26</v>
      </c>
      <c r="F5">
        <f t="shared" ref="F5:F27" si="3">3600/B5*A5</f>
        <v>2160</v>
      </c>
      <c r="G5">
        <f>E5/(A5-A4)</f>
        <v>5.2000000000000005E-2</v>
      </c>
      <c r="H5">
        <f t="shared" si="2"/>
        <v>1.2037037037037037E-4</v>
      </c>
      <c r="I5">
        <f t="shared" si="0"/>
        <v>1.2037037037037037E-2</v>
      </c>
      <c r="J5">
        <v>4002</v>
      </c>
      <c r="K5" s="2">
        <v>400000000000</v>
      </c>
      <c r="L5">
        <v>2120</v>
      </c>
      <c r="M5">
        <v>1882</v>
      </c>
      <c r="N5" s="2">
        <v>-20000000000000</v>
      </c>
      <c r="O5" s="2">
        <v>-300000000000</v>
      </c>
      <c r="P5">
        <f t="shared" si="1"/>
        <v>1.249375312343828</v>
      </c>
    </row>
    <row r="6" spans="1:16" x14ac:dyDescent="0.2">
      <c r="A6">
        <v>20</v>
      </c>
      <c r="B6">
        <v>25</v>
      </c>
      <c r="C6">
        <v>0.54</v>
      </c>
      <c r="D6">
        <v>8720</v>
      </c>
      <c r="E6">
        <f t="shared" ref="E6:E27" si="4">C6-C5</f>
        <v>0.46</v>
      </c>
      <c r="F6">
        <f t="shared" si="3"/>
        <v>2880</v>
      </c>
      <c r="G6">
        <f t="shared" ref="G6:G27" si="5">E6/(A6-A5)</f>
        <v>9.1999999999999998E-2</v>
      </c>
      <c r="H6">
        <f t="shared" si="2"/>
        <v>1.5972222222222223E-4</v>
      </c>
      <c r="I6">
        <f t="shared" si="0"/>
        <v>1.5972222222222224E-2</v>
      </c>
      <c r="J6">
        <v>4002</v>
      </c>
      <c r="K6" s="2">
        <v>400000000000</v>
      </c>
      <c r="L6">
        <v>2120</v>
      </c>
      <c r="M6">
        <v>1882</v>
      </c>
      <c r="N6" s="2">
        <v>-20000000000000</v>
      </c>
      <c r="O6" s="2">
        <v>-300000000000</v>
      </c>
      <c r="P6">
        <f t="shared" si="1"/>
        <v>1.249375312343828</v>
      </c>
    </row>
    <row r="7" spans="1:16" x14ac:dyDescent="0.2">
      <c r="A7">
        <v>25</v>
      </c>
      <c r="B7">
        <v>25</v>
      </c>
      <c r="C7">
        <v>1.19</v>
      </c>
      <c r="D7">
        <v>8700</v>
      </c>
      <c r="E7">
        <f t="shared" si="4"/>
        <v>0.64999999999999991</v>
      </c>
      <c r="F7">
        <f t="shared" si="3"/>
        <v>3600</v>
      </c>
      <c r="G7">
        <f t="shared" si="5"/>
        <v>0.12999999999999998</v>
      </c>
      <c r="H7">
        <f t="shared" si="2"/>
        <v>1.8055555555555552E-4</v>
      </c>
      <c r="I7">
        <f t="shared" si="0"/>
        <v>1.805555555555555E-2</v>
      </c>
      <c r="J7">
        <v>4002</v>
      </c>
      <c r="K7" s="2">
        <v>400000000000</v>
      </c>
      <c r="L7">
        <v>2120</v>
      </c>
      <c r="M7">
        <v>1882</v>
      </c>
      <c r="N7" s="2">
        <v>-20000000000000</v>
      </c>
      <c r="O7" s="2">
        <v>-300000000000</v>
      </c>
      <c r="P7">
        <f t="shared" si="1"/>
        <v>1.249375312343828</v>
      </c>
    </row>
    <row r="8" spans="1:16" x14ac:dyDescent="0.2">
      <c r="A8">
        <v>30</v>
      </c>
      <c r="B8">
        <v>25</v>
      </c>
      <c r="C8">
        <v>3.53</v>
      </c>
      <c r="D8">
        <v>8680</v>
      </c>
      <c r="E8">
        <f t="shared" si="4"/>
        <v>2.34</v>
      </c>
      <c r="F8">
        <f t="shared" si="3"/>
        <v>4320</v>
      </c>
      <c r="G8">
        <f t="shared" si="5"/>
        <v>0.46799999999999997</v>
      </c>
      <c r="H8">
        <f t="shared" si="2"/>
        <v>5.4166666666666664E-4</v>
      </c>
      <c r="I8">
        <f t="shared" si="0"/>
        <v>5.4166666666666662E-2</v>
      </c>
      <c r="J8">
        <v>4002</v>
      </c>
      <c r="K8" s="2">
        <v>400000000000</v>
      </c>
      <c r="L8">
        <v>2120</v>
      </c>
      <c r="M8">
        <v>1882</v>
      </c>
      <c r="N8" s="2">
        <v>-20000000000000</v>
      </c>
      <c r="O8" s="2">
        <v>-300000000000</v>
      </c>
      <c r="P8">
        <f t="shared" si="1"/>
        <v>1.249375312343828</v>
      </c>
    </row>
    <row r="9" spans="1:16" x14ac:dyDescent="0.2">
      <c r="A9">
        <v>35</v>
      </c>
      <c r="B9">
        <v>25</v>
      </c>
      <c r="C9">
        <v>10.01</v>
      </c>
      <c r="D9">
        <v>8660</v>
      </c>
      <c r="E9">
        <f t="shared" si="4"/>
        <v>6.48</v>
      </c>
      <c r="F9">
        <f t="shared" si="3"/>
        <v>5040</v>
      </c>
      <c r="G9">
        <f t="shared" si="5"/>
        <v>1.296</v>
      </c>
      <c r="H9">
        <f t="shared" si="2"/>
        <v>1.2857142857142859E-3</v>
      </c>
      <c r="I9">
        <f t="shared" si="0"/>
        <v>0.12857142857142859</v>
      </c>
      <c r="J9">
        <v>4002</v>
      </c>
      <c r="K9" s="2">
        <v>400000000000</v>
      </c>
      <c r="L9">
        <v>2120</v>
      </c>
      <c r="M9">
        <v>1882</v>
      </c>
      <c r="N9" s="2">
        <v>-20000000000000</v>
      </c>
      <c r="O9" s="2">
        <v>-300000000000</v>
      </c>
      <c r="P9">
        <f t="shared" si="1"/>
        <v>1.249375312343828</v>
      </c>
    </row>
    <row r="10" spans="1:16" x14ac:dyDescent="0.2">
      <c r="A10">
        <v>40</v>
      </c>
      <c r="B10">
        <v>25</v>
      </c>
      <c r="C10">
        <v>22.26</v>
      </c>
      <c r="D10">
        <v>8640</v>
      </c>
      <c r="E10">
        <f t="shared" si="4"/>
        <v>12.250000000000002</v>
      </c>
      <c r="F10">
        <f t="shared" si="3"/>
        <v>5760</v>
      </c>
      <c r="G10">
        <f t="shared" si="5"/>
        <v>2.4500000000000002</v>
      </c>
      <c r="H10">
        <f t="shared" si="2"/>
        <v>2.1267361111111114E-3</v>
      </c>
      <c r="I10">
        <f t="shared" si="0"/>
        <v>0.21267361111111113</v>
      </c>
      <c r="J10">
        <v>4002</v>
      </c>
      <c r="K10" s="2">
        <v>400000000000</v>
      </c>
      <c r="L10">
        <v>2120</v>
      </c>
      <c r="M10">
        <v>1882</v>
      </c>
      <c r="N10" s="2">
        <v>-20000000000000</v>
      </c>
      <c r="O10" s="2">
        <v>-300000000000</v>
      </c>
      <c r="P10">
        <f t="shared" si="1"/>
        <v>1.249375312343828</v>
      </c>
    </row>
    <row r="11" spans="1:16" x14ac:dyDescent="0.2">
      <c r="A11">
        <v>45</v>
      </c>
      <c r="B11">
        <v>25</v>
      </c>
      <c r="C11">
        <v>43.18</v>
      </c>
      <c r="D11">
        <v>8620</v>
      </c>
      <c r="E11">
        <f t="shared" si="4"/>
        <v>20.919999999999998</v>
      </c>
      <c r="F11">
        <f t="shared" si="3"/>
        <v>6480</v>
      </c>
      <c r="G11">
        <f t="shared" si="5"/>
        <v>4.1839999999999993</v>
      </c>
      <c r="H11">
        <f t="shared" si="2"/>
        <v>3.2283950617283948E-3</v>
      </c>
      <c r="I11">
        <f t="shared" si="0"/>
        <v>0.32283950617283946</v>
      </c>
      <c r="J11">
        <v>4002</v>
      </c>
      <c r="K11" s="2">
        <v>400000000000</v>
      </c>
      <c r="L11">
        <v>2120</v>
      </c>
      <c r="M11">
        <v>1882</v>
      </c>
      <c r="N11" s="2">
        <v>-20000000000000</v>
      </c>
      <c r="O11" s="2">
        <v>-300000000000</v>
      </c>
      <c r="P11">
        <f t="shared" si="1"/>
        <v>1.249375312343828</v>
      </c>
    </row>
    <row r="12" spans="1:16" x14ac:dyDescent="0.2">
      <c r="A12">
        <v>50</v>
      </c>
      <c r="B12">
        <v>25</v>
      </c>
      <c r="C12">
        <v>78.400000000000006</v>
      </c>
      <c r="D12">
        <v>8600</v>
      </c>
      <c r="E12">
        <f t="shared" si="4"/>
        <v>35.220000000000006</v>
      </c>
      <c r="F12">
        <f t="shared" si="3"/>
        <v>7200</v>
      </c>
      <c r="G12">
        <f t="shared" si="5"/>
        <v>7.0440000000000014</v>
      </c>
      <c r="H12">
        <f t="shared" si="2"/>
        <v>4.8916666666666674E-3</v>
      </c>
      <c r="I12">
        <f t="shared" si="0"/>
        <v>0.48916666666666675</v>
      </c>
      <c r="J12">
        <v>4002</v>
      </c>
      <c r="K12" s="2">
        <v>400000000000</v>
      </c>
      <c r="L12">
        <v>2120</v>
      </c>
      <c r="M12">
        <v>1882</v>
      </c>
      <c r="N12" s="2">
        <v>-20000000000000</v>
      </c>
      <c r="O12" s="2">
        <v>-300000000000</v>
      </c>
      <c r="P12">
        <f t="shared" si="1"/>
        <v>1.249375312343828</v>
      </c>
    </row>
    <row r="13" spans="1:16" x14ac:dyDescent="0.2">
      <c r="A13">
        <v>55</v>
      </c>
      <c r="B13">
        <v>25</v>
      </c>
      <c r="C13">
        <v>137</v>
      </c>
      <c r="D13">
        <v>8580</v>
      </c>
      <c r="E13">
        <f t="shared" si="4"/>
        <v>58.599999999999994</v>
      </c>
      <c r="F13">
        <f t="shared" si="3"/>
        <v>7920</v>
      </c>
      <c r="G13">
        <f t="shared" si="5"/>
        <v>11.719999999999999</v>
      </c>
      <c r="H13">
        <f t="shared" si="2"/>
        <v>7.3989898989898981E-3</v>
      </c>
      <c r="I13">
        <f t="shared" si="0"/>
        <v>0.73989898989898983</v>
      </c>
      <c r="J13">
        <v>4002</v>
      </c>
      <c r="K13" s="2">
        <v>400000000000</v>
      </c>
      <c r="L13">
        <v>2120</v>
      </c>
      <c r="M13">
        <v>1882</v>
      </c>
      <c r="N13" s="2">
        <v>-20000000000000</v>
      </c>
      <c r="O13" s="2">
        <v>-300000000000</v>
      </c>
      <c r="P13">
        <f t="shared" si="1"/>
        <v>1.249375312343828</v>
      </c>
    </row>
    <row r="14" spans="1:16" x14ac:dyDescent="0.2">
      <c r="A14">
        <v>60</v>
      </c>
      <c r="B14">
        <v>25</v>
      </c>
      <c r="C14">
        <v>231</v>
      </c>
      <c r="D14">
        <v>8580</v>
      </c>
      <c r="E14">
        <f t="shared" si="4"/>
        <v>94</v>
      </c>
      <c r="F14">
        <f t="shared" si="3"/>
        <v>8640</v>
      </c>
      <c r="G14">
        <f t="shared" si="5"/>
        <v>18.8</v>
      </c>
      <c r="H14">
        <f t="shared" si="2"/>
        <v>1.087962962962963E-2</v>
      </c>
      <c r="I14">
        <f t="shared" si="0"/>
        <v>1.087962962962963</v>
      </c>
      <c r="J14">
        <v>4002</v>
      </c>
      <c r="K14" s="2">
        <v>400000000000</v>
      </c>
      <c r="L14">
        <v>2120</v>
      </c>
      <c r="M14">
        <v>1882</v>
      </c>
      <c r="N14" s="2">
        <v>-20000000000000</v>
      </c>
      <c r="O14" s="2">
        <v>-300000000000</v>
      </c>
      <c r="P14">
        <f t="shared" si="1"/>
        <v>1.249375312343828</v>
      </c>
    </row>
    <row r="15" spans="1:16" x14ac:dyDescent="0.2">
      <c r="A15">
        <v>62</v>
      </c>
      <c r="B15">
        <v>25</v>
      </c>
      <c r="C15">
        <v>270</v>
      </c>
      <c r="D15">
        <v>8700</v>
      </c>
      <c r="E15">
        <f t="shared" si="4"/>
        <v>39</v>
      </c>
      <c r="F15">
        <f t="shared" si="3"/>
        <v>8928</v>
      </c>
      <c r="G15">
        <f t="shared" si="5"/>
        <v>19.5</v>
      </c>
      <c r="H15">
        <f t="shared" si="2"/>
        <v>4.3682795698924727E-3</v>
      </c>
      <c r="I15">
        <f t="shared" si="0"/>
        <v>0.43682795698924726</v>
      </c>
      <c r="J15">
        <v>4002</v>
      </c>
      <c r="K15" s="2">
        <v>400000000000</v>
      </c>
      <c r="L15">
        <v>2120</v>
      </c>
      <c r="M15">
        <v>1882</v>
      </c>
      <c r="N15" s="2">
        <v>-20000000000000</v>
      </c>
      <c r="O15" s="2">
        <v>-300000000000</v>
      </c>
      <c r="P15">
        <f t="shared" si="1"/>
        <v>1.249375312343828</v>
      </c>
    </row>
    <row r="16" spans="1:16" x14ac:dyDescent="0.2">
      <c r="A16">
        <v>67</v>
      </c>
      <c r="B16">
        <v>25</v>
      </c>
      <c r="C16">
        <v>432</v>
      </c>
      <c r="D16">
        <v>8700</v>
      </c>
      <c r="E16">
        <f t="shared" si="4"/>
        <v>162</v>
      </c>
      <c r="F16">
        <f t="shared" si="3"/>
        <v>9648</v>
      </c>
      <c r="G16">
        <f t="shared" si="5"/>
        <v>32.4</v>
      </c>
      <c r="H16">
        <f t="shared" si="2"/>
        <v>1.6791044776119403E-2</v>
      </c>
      <c r="I16">
        <f t="shared" si="0"/>
        <v>1.6791044776119404</v>
      </c>
      <c r="J16">
        <v>4002</v>
      </c>
      <c r="K16" s="2">
        <v>400000000000</v>
      </c>
      <c r="L16">
        <v>2120</v>
      </c>
      <c r="M16">
        <v>1882</v>
      </c>
      <c r="N16" s="2">
        <v>-20000000000000</v>
      </c>
      <c r="O16" s="2">
        <v>-300000000000</v>
      </c>
      <c r="P16">
        <f t="shared" si="1"/>
        <v>1.249375312343828</v>
      </c>
    </row>
    <row r="17" spans="1:16" x14ac:dyDescent="0.2">
      <c r="A17">
        <v>69</v>
      </c>
      <c r="B17">
        <v>25</v>
      </c>
      <c r="C17">
        <v>500</v>
      </c>
      <c r="D17">
        <v>8730</v>
      </c>
      <c r="E17">
        <f t="shared" si="4"/>
        <v>68</v>
      </c>
      <c r="F17">
        <f t="shared" si="3"/>
        <v>9936</v>
      </c>
      <c r="G17">
        <f t="shared" si="5"/>
        <v>34</v>
      </c>
      <c r="H17">
        <f t="shared" si="2"/>
        <v>6.8438003220611917E-3</v>
      </c>
      <c r="I17">
        <f t="shared" si="0"/>
        <v>0.6843800322061192</v>
      </c>
      <c r="J17">
        <v>4002</v>
      </c>
      <c r="K17" s="2">
        <v>400000000000</v>
      </c>
      <c r="L17">
        <v>2120</v>
      </c>
      <c r="M17">
        <v>1882</v>
      </c>
      <c r="N17" s="2">
        <v>-20000000000000</v>
      </c>
      <c r="O17" s="2">
        <v>-300000000000</v>
      </c>
      <c r="P17">
        <f t="shared" si="1"/>
        <v>1.249375312343828</v>
      </c>
    </row>
    <row r="18" spans="1:16" x14ac:dyDescent="0.2">
      <c r="A18">
        <v>75</v>
      </c>
      <c r="B18">
        <v>25</v>
      </c>
      <c r="C18">
        <v>723</v>
      </c>
      <c r="D18">
        <v>8730</v>
      </c>
      <c r="E18">
        <f t="shared" si="4"/>
        <v>223</v>
      </c>
      <c r="F18">
        <f t="shared" si="3"/>
        <v>10800</v>
      </c>
      <c r="G18">
        <f t="shared" si="5"/>
        <v>37.166666666666664</v>
      </c>
      <c r="H18">
        <f t="shared" si="2"/>
        <v>2.0648148148148148E-2</v>
      </c>
      <c r="I18">
        <f t="shared" si="0"/>
        <v>2.0648148148148149</v>
      </c>
      <c r="J18">
        <v>4002</v>
      </c>
      <c r="K18" s="2">
        <v>400000000000</v>
      </c>
      <c r="L18">
        <v>2120</v>
      </c>
      <c r="M18">
        <v>1882</v>
      </c>
      <c r="N18" s="2">
        <v>-20000000000000</v>
      </c>
      <c r="O18" s="2">
        <v>-300000000000</v>
      </c>
      <c r="P18">
        <f t="shared" si="1"/>
        <v>1.249375312343828</v>
      </c>
    </row>
    <row r="19" spans="1:16" x14ac:dyDescent="0.2">
      <c r="A19">
        <v>100</v>
      </c>
      <c r="B19">
        <v>25</v>
      </c>
      <c r="C19">
        <v>1688</v>
      </c>
      <c r="D19">
        <v>8730</v>
      </c>
      <c r="E19">
        <f t="shared" si="4"/>
        <v>965</v>
      </c>
      <c r="F19">
        <f t="shared" si="3"/>
        <v>14400</v>
      </c>
      <c r="G19">
        <f t="shared" si="5"/>
        <v>38.6</v>
      </c>
      <c r="H19">
        <f t="shared" si="2"/>
        <v>6.7013888888888887E-2</v>
      </c>
      <c r="I19">
        <f t="shared" si="0"/>
        <v>6.7013888888888884</v>
      </c>
      <c r="J19">
        <v>4002</v>
      </c>
      <c r="K19" s="2">
        <v>400000000000</v>
      </c>
      <c r="L19">
        <v>2120</v>
      </c>
      <c r="M19">
        <v>1882</v>
      </c>
      <c r="N19" s="2">
        <v>-20000000000000</v>
      </c>
      <c r="O19" s="2">
        <v>-300000000000</v>
      </c>
      <c r="P19">
        <f t="shared" si="1"/>
        <v>1.249375312343828</v>
      </c>
    </row>
    <row r="20" spans="1:16" x14ac:dyDescent="0.2">
      <c r="A20">
        <v>110</v>
      </c>
      <c r="B20">
        <v>25</v>
      </c>
      <c r="C20">
        <v>2000</v>
      </c>
      <c r="D20">
        <v>8730</v>
      </c>
      <c r="E20">
        <f t="shared" si="4"/>
        <v>312</v>
      </c>
      <c r="F20">
        <f t="shared" si="3"/>
        <v>15840</v>
      </c>
      <c r="G20">
        <f t="shared" si="5"/>
        <v>31.2</v>
      </c>
      <c r="H20">
        <f t="shared" si="2"/>
        <v>1.9696969696969695E-2</v>
      </c>
      <c r="I20">
        <f t="shared" si="0"/>
        <v>1.9696969696969695</v>
      </c>
      <c r="J20">
        <v>4002</v>
      </c>
      <c r="K20" s="2">
        <v>400000000000</v>
      </c>
      <c r="L20">
        <v>2120</v>
      </c>
      <c r="M20">
        <v>1882</v>
      </c>
      <c r="N20" s="2">
        <v>-20000000000000</v>
      </c>
      <c r="O20" s="2">
        <v>-300000000000</v>
      </c>
      <c r="P20">
        <f t="shared" si="1"/>
        <v>1.249375312343828</v>
      </c>
    </row>
    <row r="21" spans="1:16" x14ac:dyDescent="0.2">
      <c r="A21">
        <v>116.7</v>
      </c>
      <c r="B21">
        <v>25</v>
      </c>
      <c r="C21">
        <v>2172</v>
      </c>
      <c r="D21">
        <v>8730</v>
      </c>
      <c r="E21">
        <f t="shared" si="4"/>
        <v>172</v>
      </c>
      <c r="F21">
        <f t="shared" si="3"/>
        <v>16804.8</v>
      </c>
      <c r="G21">
        <f t="shared" si="5"/>
        <v>25.671641791044767</v>
      </c>
      <c r="H21">
        <f t="shared" si="2"/>
        <v>1.0235170903551367E-2</v>
      </c>
      <c r="I21">
        <f t="shared" si="0"/>
        <v>1.0235170903551367</v>
      </c>
      <c r="J21">
        <v>4002</v>
      </c>
      <c r="K21" s="2">
        <v>400000000000</v>
      </c>
      <c r="L21">
        <v>2120</v>
      </c>
      <c r="M21">
        <v>1882</v>
      </c>
      <c r="N21" s="2">
        <v>-20000000000000</v>
      </c>
      <c r="O21" s="2">
        <v>-300000000000</v>
      </c>
      <c r="P21">
        <f t="shared" si="1"/>
        <v>1.249375312343828</v>
      </c>
    </row>
    <row r="22" spans="1:16" x14ac:dyDescent="0.2">
      <c r="A22">
        <v>124.4</v>
      </c>
      <c r="B22">
        <v>25</v>
      </c>
      <c r="C22">
        <v>2360</v>
      </c>
      <c r="D22">
        <v>8730</v>
      </c>
      <c r="E22">
        <f t="shared" si="4"/>
        <v>188</v>
      </c>
      <c r="F22">
        <f t="shared" si="3"/>
        <v>17913.600000000002</v>
      </c>
      <c r="G22">
        <f t="shared" si="5"/>
        <v>24.415584415584405</v>
      </c>
      <c r="H22">
        <f t="shared" si="2"/>
        <v>1.0494819578420864E-2</v>
      </c>
      <c r="I22">
        <f t="shared" si="0"/>
        <v>1.0494819578420864</v>
      </c>
      <c r="J22">
        <v>4002</v>
      </c>
      <c r="K22" s="2">
        <v>400000000000</v>
      </c>
      <c r="L22">
        <v>2120</v>
      </c>
      <c r="M22">
        <v>1882</v>
      </c>
      <c r="N22" s="2">
        <v>-20000000000000</v>
      </c>
      <c r="O22" s="2">
        <v>-300000000000</v>
      </c>
      <c r="P22">
        <f t="shared" si="1"/>
        <v>1.249375312343828</v>
      </c>
    </row>
    <row r="23" spans="1:16" x14ac:dyDescent="0.2">
      <c r="A23">
        <v>137.19999999999999</v>
      </c>
      <c r="B23">
        <v>25</v>
      </c>
      <c r="C23">
        <v>2646</v>
      </c>
      <c r="D23">
        <v>8730</v>
      </c>
      <c r="E23">
        <f t="shared" si="4"/>
        <v>286</v>
      </c>
      <c r="F23">
        <f t="shared" si="3"/>
        <v>19756.8</v>
      </c>
      <c r="G23">
        <f t="shared" si="5"/>
        <v>22.343750000000028</v>
      </c>
      <c r="H23">
        <f t="shared" si="2"/>
        <v>1.4476028506640752E-2</v>
      </c>
      <c r="I23">
        <f t="shared" si="0"/>
        <v>1.4476028506640752</v>
      </c>
      <c r="J23">
        <v>4002</v>
      </c>
      <c r="K23" s="2">
        <v>400000000000</v>
      </c>
      <c r="L23">
        <v>2120</v>
      </c>
      <c r="M23">
        <v>1882</v>
      </c>
      <c r="N23" s="2">
        <v>-20000000000000</v>
      </c>
      <c r="O23" s="2">
        <v>-300000000000</v>
      </c>
      <c r="P23">
        <f t="shared" si="1"/>
        <v>1.249375312343828</v>
      </c>
    </row>
    <row r="24" spans="1:16" x14ac:dyDescent="0.2">
      <c r="A24">
        <v>140</v>
      </c>
      <c r="B24">
        <v>25</v>
      </c>
      <c r="C24">
        <v>2707</v>
      </c>
      <c r="D24">
        <v>8730</v>
      </c>
      <c r="E24">
        <f t="shared" si="4"/>
        <v>61</v>
      </c>
      <c r="F24">
        <f t="shared" si="3"/>
        <v>20160</v>
      </c>
      <c r="G24">
        <f t="shared" si="5"/>
        <v>21.785714285714196</v>
      </c>
      <c r="H24">
        <f t="shared" si="2"/>
        <v>3.0257936507936509E-3</v>
      </c>
      <c r="I24">
        <f t="shared" si="0"/>
        <v>0.30257936507936511</v>
      </c>
      <c r="J24">
        <v>4002</v>
      </c>
      <c r="K24" s="2">
        <v>400000000000</v>
      </c>
      <c r="L24">
        <v>2120</v>
      </c>
      <c r="M24">
        <v>1882</v>
      </c>
      <c r="N24" s="2">
        <v>-20000000000000</v>
      </c>
      <c r="O24" s="2">
        <v>-300000000000</v>
      </c>
      <c r="P24">
        <f t="shared" si="1"/>
        <v>1.249375312343828</v>
      </c>
    </row>
    <row r="25" spans="1:16" x14ac:dyDescent="0.2">
      <c r="A25">
        <v>145</v>
      </c>
      <c r="B25">
        <v>25</v>
      </c>
      <c r="C25">
        <v>2820</v>
      </c>
      <c r="D25">
        <v>8730</v>
      </c>
      <c r="E25">
        <f t="shared" si="4"/>
        <v>113</v>
      </c>
      <c r="F25">
        <f t="shared" si="3"/>
        <v>20880</v>
      </c>
      <c r="G25">
        <f t="shared" si="5"/>
        <v>22.6</v>
      </c>
      <c r="H25">
        <f t="shared" si="2"/>
        <v>5.4118773946360155E-3</v>
      </c>
      <c r="I25">
        <f t="shared" si="0"/>
        <v>0.54118773946360155</v>
      </c>
      <c r="J25">
        <v>4002</v>
      </c>
      <c r="K25" s="2">
        <v>400000000000</v>
      </c>
      <c r="L25">
        <v>2120</v>
      </c>
      <c r="M25">
        <v>1882</v>
      </c>
      <c r="N25" s="2">
        <v>-20000000000000</v>
      </c>
      <c r="O25" s="2">
        <v>-300000000000</v>
      </c>
      <c r="P25">
        <f t="shared" si="1"/>
        <v>1.249375312343828</v>
      </c>
    </row>
    <row r="26" spans="1:16" x14ac:dyDescent="0.2">
      <c r="A26">
        <v>148.30000000000001</v>
      </c>
      <c r="B26">
        <v>25</v>
      </c>
      <c r="C26">
        <v>2900</v>
      </c>
      <c r="D26">
        <v>8730</v>
      </c>
      <c r="E26">
        <f t="shared" si="4"/>
        <v>80</v>
      </c>
      <c r="F26">
        <f t="shared" si="3"/>
        <v>21355.200000000001</v>
      </c>
      <c r="G26">
        <f t="shared" si="5"/>
        <v>24.24242424242416</v>
      </c>
      <c r="H26">
        <f t="shared" si="2"/>
        <v>3.7461601858095449E-3</v>
      </c>
      <c r="I26">
        <f t="shared" si="0"/>
        <v>0.3746160185809545</v>
      </c>
      <c r="J26">
        <v>4002</v>
      </c>
      <c r="K26" s="2">
        <v>400000000000</v>
      </c>
      <c r="L26">
        <v>2120</v>
      </c>
      <c r="M26">
        <v>1882</v>
      </c>
      <c r="N26" s="2">
        <v>-20000000000000</v>
      </c>
      <c r="O26" s="2">
        <v>-300000000000</v>
      </c>
      <c r="P26">
        <f t="shared" si="1"/>
        <v>1.249375312343828</v>
      </c>
    </row>
    <row r="27" spans="1:16" x14ac:dyDescent="0.2">
      <c r="A27">
        <v>150</v>
      </c>
      <c r="B27">
        <v>25</v>
      </c>
      <c r="C27">
        <v>2950</v>
      </c>
      <c r="D27">
        <f>(1000/3600)*(F27-F26)+D26</f>
        <v>8798</v>
      </c>
      <c r="E27">
        <f t="shared" si="4"/>
        <v>50</v>
      </c>
      <c r="F27">
        <f t="shared" si="3"/>
        <v>21600</v>
      </c>
      <c r="G27">
        <f t="shared" si="5"/>
        <v>29.41176470588255</v>
      </c>
      <c r="H27">
        <f t="shared" si="2"/>
        <v>2.3148148148148147E-3</v>
      </c>
      <c r="I27">
        <f t="shared" si="0"/>
        <v>0.23148148148148145</v>
      </c>
      <c r="J27">
        <v>4002</v>
      </c>
      <c r="K27" s="2">
        <v>400000000000</v>
      </c>
      <c r="L27">
        <v>2120</v>
      </c>
      <c r="M27">
        <v>1882</v>
      </c>
      <c r="N27" s="2">
        <v>-20000000000000</v>
      </c>
      <c r="O27" s="2">
        <v>-300000000000</v>
      </c>
      <c r="P27">
        <f t="shared" si="1"/>
        <v>1.249375312343828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3E36-0A8A-6B42-B690-2B0B86AA3F37}">
  <dimension ref="A1:P35"/>
  <sheetViews>
    <sheetView topLeftCell="N3" workbookViewId="0">
      <selection activeCell="R32" sqref="R32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C2">
        <v>-0.23</v>
      </c>
      <c r="D2">
        <v>8780</v>
      </c>
      <c r="E2" cm="1">
        <f t="array" aca="1" ref="E2" ca="1">E2:G297</f>
        <v>0</v>
      </c>
      <c r="F2" cm="1">
        <f t="array" aca="1" ref="F2" ca="1">F2:H317</f>
        <v>0</v>
      </c>
      <c r="G2">
        <v>0</v>
      </c>
      <c r="H2">
        <v>0</v>
      </c>
      <c r="I2">
        <f>H2*100</f>
        <v>0</v>
      </c>
      <c r="J2">
        <v>4130</v>
      </c>
      <c r="K2" s="2">
        <v>500000000000</v>
      </c>
      <c r="L2">
        <v>3650</v>
      </c>
      <c r="M2">
        <v>483</v>
      </c>
      <c r="N2" s="2">
        <v>-10000000000000</v>
      </c>
      <c r="O2" s="2">
        <v>2000000000000</v>
      </c>
      <c r="P2">
        <f>(100/4130)*100</f>
        <v>2.4213075060532687</v>
      </c>
    </row>
    <row r="3" spans="1:16" x14ac:dyDescent="0.2">
      <c r="A3">
        <v>5</v>
      </c>
      <c r="B3">
        <v>40</v>
      </c>
      <c r="C3">
        <v>0.98</v>
      </c>
      <c r="D3">
        <v>8780</v>
      </c>
      <c r="E3">
        <f>C3-C2</f>
        <v>1.21</v>
      </c>
      <c r="F3">
        <f>3600/B3*A3</f>
        <v>450</v>
      </c>
      <c r="G3">
        <f>E3/A3</f>
        <v>0.24199999999999999</v>
      </c>
      <c r="H3">
        <f>E3/(3600/B3*A3)</f>
        <v>2.6888888888888887E-3</v>
      </c>
      <c r="I3">
        <f t="shared" ref="I3:I28" si="0">H3*100</f>
        <v>0.26888888888888884</v>
      </c>
      <c r="J3">
        <v>4130</v>
      </c>
      <c r="K3" s="2">
        <v>500000000000</v>
      </c>
      <c r="L3">
        <v>3650</v>
      </c>
      <c r="M3">
        <v>483</v>
      </c>
      <c r="N3" s="2">
        <v>-10000000000000</v>
      </c>
      <c r="O3" s="2">
        <v>2000000000000</v>
      </c>
      <c r="P3">
        <f t="shared" ref="P3:P35" si="1">(100/4130)*100</f>
        <v>2.4213075060532687</v>
      </c>
    </row>
    <row r="4" spans="1:16" x14ac:dyDescent="0.2">
      <c r="A4">
        <v>10</v>
      </c>
      <c r="B4">
        <v>40</v>
      </c>
      <c r="C4">
        <v>1.6</v>
      </c>
      <c r="D4">
        <v>8780</v>
      </c>
      <c r="E4">
        <f>C4-C3</f>
        <v>0.62000000000000011</v>
      </c>
      <c r="F4">
        <f>3600/B4*A4</f>
        <v>900</v>
      </c>
      <c r="G4">
        <f>E4/(A4-A3)</f>
        <v>0.12400000000000003</v>
      </c>
      <c r="H4">
        <f t="shared" ref="H4:H28" si="2">E4/(3600/B4*A4)</f>
        <v>6.8888888888888906E-4</v>
      </c>
      <c r="I4">
        <f t="shared" si="0"/>
        <v>6.8888888888888902E-2</v>
      </c>
      <c r="J4">
        <v>4130</v>
      </c>
      <c r="K4" s="2">
        <v>500000000000</v>
      </c>
      <c r="L4">
        <v>3650</v>
      </c>
      <c r="M4">
        <v>483</v>
      </c>
      <c r="N4" s="2">
        <v>-10000000000000</v>
      </c>
      <c r="O4" s="2">
        <v>2000000000000</v>
      </c>
      <c r="P4">
        <f t="shared" si="1"/>
        <v>2.4213075060532687</v>
      </c>
    </row>
    <row r="5" spans="1:16" x14ac:dyDescent="0.2">
      <c r="A5">
        <v>15</v>
      </c>
      <c r="B5">
        <v>40</v>
      </c>
      <c r="C5">
        <v>2.38</v>
      </c>
      <c r="D5">
        <v>8760</v>
      </c>
      <c r="E5">
        <f>C5-C4</f>
        <v>0.7799999999999998</v>
      </c>
      <c r="F5">
        <f t="shared" ref="F5:F30" si="3">3600/B5*A5</f>
        <v>1350</v>
      </c>
      <c r="G5">
        <f>E5/(A5-A4)</f>
        <v>0.15599999999999997</v>
      </c>
      <c r="H5">
        <f t="shared" si="2"/>
        <v>5.7777777777777764E-4</v>
      </c>
      <c r="I5">
        <f t="shared" si="0"/>
        <v>5.7777777777777761E-2</v>
      </c>
      <c r="J5">
        <v>4130</v>
      </c>
      <c r="K5" s="2">
        <v>500000000000</v>
      </c>
      <c r="L5">
        <v>3650</v>
      </c>
      <c r="M5">
        <v>483</v>
      </c>
      <c r="N5" s="2">
        <v>-10000000000000</v>
      </c>
      <c r="O5" s="2">
        <v>2000000000000</v>
      </c>
      <c r="P5">
        <f t="shared" si="1"/>
        <v>2.4213075060532687</v>
      </c>
    </row>
    <row r="6" spans="1:16" x14ac:dyDescent="0.2">
      <c r="A6">
        <v>20</v>
      </c>
      <c r="B6">
        <v>25</v>
      </c>
      <c r="C6">
        <v>3.42</v>
      </c>
      <c r="D6">
        <v>8740</v>
      </c>
      <c r="E6">
        <f t="shared" ref="E6:E28" si="4">C6-C5</f>
        <v>1.04</v>
      </c>
      <c r="F6">
        <f t="shared" si="3"/>
        <v>2880</v>
      </c>
      <c r="G6">
        <f t="shared" ref="G6:G28" si="5">E6/(A6-A5)</f>
        <v>0.20800000000000002</v>
      </c>
      <c r="H6">
        <f t="shared" si="2"/>
        <v>3.6111111111111115E-4</v>
      </c>
      <c r="I6">
        <f t="shared" si="0"/>
        <v>3.6111111111111115E-2</v>
      </c>
      <c r="J6">
        <v>4130</v>
      </c>
      <c r="K6" s="2">
        <v>500000000000</v>
      </c>
      <c r="L6">
        <v>3650</v>
      </c>
      <c r="M6">
        <v>483</v>
      </c>
      <c r="N6" s="2">
        <v>-10000000000000</v>
      </c>
      <c r="O6" s="2">
        <v>2000000000000</v>
      </c>
      <c r="P6">
        <f t="shared" si="1"/>
        <v>2.4213075060532687</v>
      </c>
    </row>
    <row r="7" spans="1:16" x14ac:dyDescent="0.2">
      <c r="A7">
        <v>25</v>
      </c>
      <c r="B7">
        <v>25</v>
      </c>
      <c r="C7">
        <v>4.88</v>
      </c>
      <c r="D7">
        <v>8720</v>
      </c>
      <c r="E7">
        <f t="shared" si="4"/>
        <v>1.46</v>
      </c>
      <c r="F7">
        <f t="shared" si="3"/>
        <v>3600</v>
      </c>
      <c r="G7">
        <f t="shared" si="5"/>
        <v>0.29199999999999998</v>
      </c>
      <c r="H7">
        <f t="shared" si="2"/>
        <v>4.0555555555555554E-4</v>
      </c>
      <c r="I7">
        <f t="shared" si="0"/>
        <v>4.0555555555555553E-2</v>
      </c>
      <c r="J7">
        <v>4130</v>
      </c>
      <c r="K7" s="2">
        <v>500000000000</v>
      </c>
      <c r="L7">
        <v>3650</v>
      </c>
      <c r="M7">
        <v>483</v>
      </c>
      <c r="N7" s="2">
        <v>-10000000000000</v>
      </c>
      <c r="O7" s="2">
        <v>2000000000000</v>
      </c>
      <c r="P7">
        <f t="shared" si="1"/>
        <v>2.4213075060532687</v>
      </c>
    </row>
    <row r="8" spans="1:16" x14ac:dyDescent="0.2">
      <c r="A8">
        <v>30</v>
      </c>
      <c r="B8">
        <v>25</v>
      </c>
      <c r="C8">
        <v>6.51</v>
      </c>
      <c r="D8">
        <v>8700</v>
      </c>
      <c r="E8">
        <f t="shared" si="4"/>
        <v>1.63</v>
      </c>
      <c r="F8">
        <f t="shared" si="3"/>
        <v>4320</v>
      </c>
      <c r="G8">
        <f t="shared" si="5"/>
        <v>0.32599999999999996</v>
      </c>
      <c r="H8">
        <f t="shared" si="2"/>
        <v>3.7731481481481481E-4</v>
      </c>
      <c r="I8">
        <f t="shared" si="0"/>
        <v>3.7731481481481484E-2</v>
      </c>
      <c r="J8">
        <v>4130</v>
      </c>
      <c r="K8" s="2">
        <v>500000000000</v>
      </c>
      <c r="L8">
        <v>3650</v>
      </c>
      <c r="M8">
        <v>483</v>
      </c>
      <c r="N8" s="2">
        <v>-10000000000000</v>
      </c>
      <c r="O8" s="2">
        <v>2000000000000</v>
      </c>
      <c r="P8">
        <f t="shared" si="1"/>
        <v>2.4213075060532687</v>
      </c>
    </row>
    <row r="9" spans="1:16" x14ac:dyDescent="0.2">
      <c r="A9">
        <v>35</v>
      </c>
      <c r="B9">
        <v>25</v>
      </c>
      <c r="C9">
        <v>9.65</v>
      </c>
      <c r="D9">
        <v>8680</v>
      </c>
      <c r="E9">
        <f t="shared" si="4"/>
        <v>3.1400000000000006</v>
      </c>
      <c r="F9">
        <f t="shared" si="3"/>
        <v>5040</v>
      </c>
      <c r="G9">
        <f t="shared" si="5"/>
        <v>0.62800000000000011</v>
      </c>
      <c r="H9">
        <f t="shared" si="2"/>
        <v>6.2301587301587312E-4</v>
      </c>
      <c r="I9">
        <f t="shared" si="0"/>
        <v>6.2301587301587309E-2</v>
      </c>
      <c r="J9">
        <v>4130</v>
      </c>
      <c r="K9" s="2">
        <v>500000000000</v>
      </c>
      <c r="L9">
        <v>3650</v>
      </c>
      <c r="M9">
        <v>483</v>
      </c>
      <c r="N9" s="2">
        <v>-10000000000000</v>
      </c>
      <c r="O9" s="2">
        <v>2000000000000</v>
      </c>
      <c r="P9">
        <f t="shared" si="1"/>
        <v>2.4213075060532687</v>
      </c>
    </row>
    <row r="10" spans="1:16" x14ac:dyDescent="0.2">
      <c r="A10">
        <v>40</v>
      </c>
      <c r="B10">
        <v>25</v>
      </c>
      <c r="C10">
        <v>14.25</v>
      </c>
      <c r="D10">
        <v>8660</v>
      </c>
      <c r="E10">
        <f t="shared" si="4"/>
        <v>4.5999999999999996</v>
      </c>
      <c r="F10">
        <f t="shared" si="3"/>
        <v>5760</v>
      </c>
      <c r="G10">
        <f t="shared" si="5"/>
        <v>0.91999999999999993</v>
      </c>
      <c r="H10">
        <f t="shared" si="2"/>
        <v>7.9861111111111105E-4</v>
      </c>
      <c r="I10">
        <f t="shared" si="0"/>
        <v>7.9861111111111105E-2</v>
      </c>
      <c r="J10">
        <v>4130</v>
      </c>
      <c r="K10" s="2">
        <v>500000000000</v>
      </c>
      <c r="L10">
        <v>3650</v>
      </c>
      <c r="M10">
        <v>483</v>
      </c>
      <c r="N10" s="2">
        <v>-10000000000000</v>
      </c>
      <c r="O10" s="2">
        <v>2000000000000</v>
      </c>
      <c r="P10">
        <f t="shared" si="1"/>
        <v>2.4213075060532687</v>
      </c>
    </row>
    <row r="11" spans="1:16" x14ac:dyDescent="0.2">
      <c r="A11">
        <v>45</v>
      </c>
      <c r="B11">
        <v>25</v>
      </c>
      <c r="C11">
        <v>20.61</v>
      </c>
      <c r="D11">
        <v>8640</v>
      </c>
      <c r="E11">
        <f t="shared" si="4"/>
        <v>6.3599999999999994</v>
      </c>
      <c r="F11">
        <f t="shared" si="3"/>
        <v>6480</v>
      </c>
      <c r="G11">
        <f t="shared" si="5"/>
        <v>1.2719999999999998</v>
      </c>
      <c r="H11">
        <f t="shared" si="2"/>
        <v>9.814814814814814E-4</v>
      </c>
      <c r="I11">
        <f t="shared" si="0"/>
        <v>9.8148148148148137E-2</v>
      </c>
      <c r="J11">
        <v>4130</v>
      </c>
      <c r="K11" s="2">
        <v>500000000000</v>
      </c>
      <c r="L11">
        <v>3650</v>
      </c>
      <c r="M11">
        <v>483</v>
      </c>
      <c r="N11" s="2">
        <v>-10000000000000</v>
      </c>
      <c r="O11" s="2">
        <v>2000000000000</v>
      </c>
      <c r="P11">
        <f t="shared" si="1"/>
        <v>2.4213075060532687</v>
      </c>
    </row>
    <row r="12" spans="1:16" x14ac:dyDescent="0.2">
      <c r="A12">
        <v>50</v>
      </c>
      <c r="B12">
        <v>25</v>
      </c>
      <c r="C12">
        <v>32</v>
      </c>
      <c r="D12">
        <v>8620</v>
      </c>
      <c r="E12">
        <f t="shared" si="4"/>
        <v>11.39</v>
      </c>
      <c r="F12">
        <f t="shared" si="3"/>
        <v>7200</v>
      </c>
      <c r="G12">
        <f t="shared" si="5"/>
        <v>2.278</v>
      </c>
      <c r="H12">
        <f t="shared" si="2"/>
        <v>1.5819444444444446E-3</v>
      </c>
      <c r="I12">
        <f t="shared" si="0"/>
        <v>0.15819444444444447</v>
      </c>
      <c r="J12">
        <v>4130</v>
      </c>
      <c r="K12" s="2">
        <v>500000000000</v>
      </c>
      <c r="L12">
        <v>3650</v>
      </c>
      <c r="M12">
        <v>483</v>
      </c>
      <c r="N12" s="2">
        <v>-10000000000000</v>
      </c>
      <c r="O12" s="2">
        <v>2000000000000</v>
      </c>
      <c r="P12">
        <f t="shared" si="1"/>
        <v>2.4213075060532687</v>
      </c>
    </row>
    <row r="13" spans="1:16" x14ac:dyDescent="0.2">
      <c r="A13">
        <v>55</v>
      </c>
      <c r="B13">
        <v>25</v>
      </c>
      <c r="C13">
        <v>45</v>
      </c>
      <c r="D13">
        <v>8600</v>
      </c>
      <c r="E13">
        <f t="shared" si="4"/>
        <v>13</v>
      </c>
      <c r="F13">
        <f t="shared" si="3"/>
        <v>7920</v>
      </c>
      <c r="G13">
        <f t="shared" si="5"/>
        <v>2.6</v>
      </c>
      <c r="H13">
        <f t="shared" si="2"/>
        <v>1.6414141414141414E-3</v>
      </c>
      <c r="I13">
        <f t="shared" si="0"/>
        <v>0.16414141414141414</v>
      </c>
      <c r="J13">
        <v>4130</v>
      </c>
      <c r="K13" s="2">
        <v>500000000000</v>
      </c>
      <c r="L13">
        <v>3650</v>
      </c>
      <c r="M13">
        <v>483</v>
      </c>
      <c r="N13" s="2">
        <v>-10000000000000</v>
      </c>
      <c r="O13" s="2">
        <v>2000000000000</v>
      </c>
      <c r="P13">
        <f t="shared" si="1"/>
        <v>2.4213075060532687</v>
      </c>
    </row>
    <row r="14" spans="1:16" x14ac:dyDescent="0.2">
      <c r="A14">
        <v>60</v>
      </c>
      <c r="B14">
        <v>25</v>
      </c>
      <c r="C14">
        <v>71.400000000000006</v>
      </c>
      <c r="D14">
        <v>8600</v>
      </c>
      <c r="E14">
        <f t="shared" si="4"/>
        <v>26.400000000000006</v>
      </c>
      <c r="F14">
        <f t="shared" si="3"/>
        <v>8640</v>
      </c>
      <c r="G14">
        <f t="shared" si="5"/>
        <v>5.2800000000000011</v>
      </c>
      <c r="H14">
        <f t="shared" si="2"/>
        <v>3.0555555555555561E-3</v>
      </c>
      <c r="I14">
        <f t="shared" si="0"/>
        <v>0.30555555555555564</v>
      </c>
      <c r="J14">
        <v>4130</v>
      </c>
      <c r="K14" s="2">
        <v>500000000000</v>
      </c>
      <c r="L14">
        <v>3650</v>
      </c>
      <c r="M14">
        <v>483</v>
      </c>
      <c r="N14" s="2">
        <v>-10000000000000</v>
      </c>
      <c r="O14" s="2">
        <v>2000000000000</v>
      </c>
      <c r="P14">
        <f t="shared" si="1"/>
        <v>2.4213075060532687</v>
      </c>
    </row>
    <row r="15" spans="1:16" x14ac:dyDescent="0.2">
      <c r="A15">
        <v>63.1</v>
      </c>
      <c r="B15">
        <v>25</v>
      </c>
      <c r="C15">
        <v>88</v>
      </c>
      <c r="D15">
        <v>8600</v>
      </c>
      <c r="E15">
        <f t="shared" si="4"/>
        <v>16.599999999999994</v>
      </c>
      <c r="F15">
        <f t="shared" si="3"/>
        <v>9086.4</v>
      </c>
      <c r="G15">
        <f t="shared" si="5"/>
        <v>5.3548387096774155</v>
      </c>
      <c r="H15">
        <f t="shared" si="2"/>
        <v>1.8269061454481417E-3</v>
      </c>
      <c r="I15">
        <f t="shared" si="0"/>
        <v>0.18269061454481417</v>
      </c>
      <c r="J15">
        <v>4130</v>
      </c>
      <c r="K15" s="2">
        <v>500000000000</v>
      </c>
      <c r="L15">
        <v>3650</v>
      </c>
      <c r="M15">
        <v>483</v>
      </c>
      <c r="N15" s="2">
        <v>-10000000000000</v>
      </c>
      <c r="O15" s="2">
        <v>2000000000000</v>
      </c>
      <c r="P15">
        <f t="shared" si="1"/>
        <v>2.4213075060532687</v>
      </c>
    </row>
    <row r="16" spans="1:16" x14ac:dyDescent="0.2">
      <c r="A16">
        <v>70</v>
      </c>
      <c r="B16">
        <v>25</v>
      </c>
      <c r="C16">
        <v>120</v>
      </c>
      <c r="D16">
        <v>8580</v>
      </c>
      <c r="E16">
        <f t="shared" si="4"/>
        <v>32</v>
      </c>
      <c r="F16">
        <f t="shared" si="3"/>
        <v>10080</v>
      </c>
      <c r="G16">
        <f t="shared" si="5"/>
        <v>4.6376811594202909</v>
      </c>
      <c r="H16">
        <f t="shared" si="2"/>
        <v>3.1746031746031746E-3</v>
      </c>
      <c r="I16">
        <f t="shared" si="0"/>
        <v>0.31746031746031744</v>
      </c>
      <c r="J16">
        <v>4130</v>
      </c>
      <c r="K16" s="2">
        <v>500000000000</v>
      </c>
      <c r="L16">
        <v>3650</v>
      </c>
      <c r="M16">
        <v>483</v>
      </c>
      <c r="N16" s="2">
        <v>-10000000000000</v>
      </c>
      <c r="O16" s="2">
        <v>2000000000000</v>
      </c>
      <c r="P16">
        <f t="shared" si="1"/>
        <v>2.4213075060532687</v>
      </c>
    </row>
    <row r="17" spans="1:16" x14ac:dyDescent="0.2">
      <c r="A17">
        <v>75</v>
      </c>
      <c r="B17">
        <v>25</v>
      </c>
      <c r="C17">
        <v>170</v>
      </c>
      <c r="D17">
        <v>8560</v>
      </c>
      <c r="E17">
        <f t="shared" si="4"/>
        <v>50</v>
      </c>
      <c r="F17">
        <f t="shared" si="3"/>
        <v>10800</v>
      </c>
      <c r="G17">
        <f t="shared" si="5"/>
        <v>10</v>
      </c>
      <c r="H17">
        <f t="shared" si="2"/>
        <v>4.6296296296296294E-3</v>
      </c>
      <c r="I17">
        <f t="shared" si="0"/>
        <v>0.46296296296296291</v>
      </c>
      <c r="J17">
        <v>4130</v>
      </c>
      <c r="K17" s="2">
        <v>500000000000</v>
      </c>
      <c r="L17">
        <v>3650</v>
      </c>
      <c r="M17">
        <v>483</v>
      </c>
      <c r="N17" s="2">
        <v>-10000000000000</v>
      </c>
      <c r="O17" s="2">
        <v>2000000000000</v>
      </c>
      <c r="P17">
        <f t="shared" si="1"/>
        <v>2.4213075060532687</v>
      </c>
    </row>
    <row r="18" spans="1:16" x14ac:dyDescent="0.2">
      <c r="A18">
        <v>80</v>
      </c>
      <c r="B18">
        <v>25</v>
      </c>
      <c r="C18">
        <v>248</v>
      </c>
      <c r="D18">
        <v>8560</v>
      </c>
      <c r="E18">
        <f t="shared" si="4"/>
        <v>78</v>
      </c>
      <c r="F18">
        <f t="shared" si="3"/>
        <v>11520</v>
      </c>
      <c r="G18">
        <f t="shared" si="5"/>
        <v>15.6</v>
      </c>
      <c r="H18">
        <f t="shared" si="2"/>
        <v>6.7708333333333336E-3</v>
      </c>
      <c r="I18">
        <f t="shared" si="0"/>
        <v>0.67708333333333337</v>
      </c>
      <c r="J18">
        <v>4130</v>
      </c>
      <c r="K18" s="2">
        <v>500000000000</v>
      </c>
      <c r="L18">
        <v>3650</v>
      </c>
      <c r="M18">
        <v>483</v>
      </c>
      <c r="N18" s="2">
        <v>-10000000000000</v>
      </c>
      <c r="O18" s="2">
        <v>2000000000000</v>
      </c>
      <c r="P18">
        <f t="shared" si="1"/>
        <v>2.4213075060532687</v>
      </c>
    </row>
    <row r="19" spans="1:16" x14ac:dyDescent="0.2">
      <c r="A19">
        <v>84</v>
      </c>
      <c r="B19">
        <v>25</v>
      </c>
      <c r="C19">
        <v>330</v>
      </c>
      <c r="D19">
        <v>8660</v>
      </c>
      <c r="E19">
        <f t="shared" si="4"/>
        <v>82</v>
      </c>
      <c r="F19">
        <f t="shared" si="3"/>
        <v>12096</v>
      </c>
      <c r="G19">
        <f t="shared" si="5"/>
        <v>20.5</v>
      </c>
      <c r="H19">
        <f t="shared" si="2"/>
        <v>6.7791005291005287E-3</v>
      </c>
      <c r="I19">
        <f t="shared" si="0"/>
        <v>0.67791005291005291</v>
      </c>
      <c r="J19">
        <v>4130</v>
      </c>
      <c r="K19" s="2">
        <v>500000000000</v>
      </c>
      <c r="L19">
        <v>3650</v>
      </c>
      <c r="M19">
        <v>483</v>
      </c>
      <c r="N19" s="2">
        <v>-10000000000000</v>
      </c>
      <c r="O19" s="2">
        <v>2000000000000</v>
      </c>
      <c r="P19">
        <f t="shared" si="1"/>
        <v>2.4213075060532687</v>
      </c>
    </row>
    <row r="20" spans="1:16" x14ac:dyDescent="0.2">
      <c r="A20">
        <v>90</v>
      </c>
      <c r="B20">
        <v>25</v>
      </c>
      <c r="C20">
        <v>529</v>
      </c>
      <c r="D20">
        <v>8700</v>
      </c>
      <c r="E20">
        <f t="shared" si="4"/>
        <v>199</v>
      </c>
      <c r="F20">
        <f t="shared" si="3"/>
        <v>12960</v>
      </c>
      <c r="G20">
        <f t="shared" si="5"/>
        <v>33.166666666666664</v>
      </c>
      <c r="H20">
        <f t="shared" si="2"/>
        <v>1.5354938271604938E-2</v>
      </c>
      <c r="I20">
        <f t="shared" si="0"/>
        <v>1.5354938271604939</v>
      </c>
      <c r="J20">
        <v>4130</v>
      </c>
      <c r="K20" s="2">
        <v>500000000000</v>
      </c>
      <c r="L20">
        <v>3650</v>
      </c>
      <c r="M20">
        <v>483</v>
      </c>
      <c r="N20" s="2">
        <v>-10000000000000</v>
      </c>
      <c r="O20" s="2">
        <v>2000000000000</v>
      </c>
      <c r="P20">
        <f t="shared" si="1"/>
        <v>2.4213075060532687</v>
      </c>
    </row>
    <row r="21" spans="1:16" x14ac:dyDescent="0.2">
      <c r="A21">
        <v>95</v>
      </c>
      <c r="B21">
        <v>25</v>
      </c>
      <c r="C21">
        <v>739</v>
      </c>
      <c r="D21">
        <v>8700</v>
      </c>
      <c r="E21">
        <f t="shared" si="4"/>
        <v>210</v>
      </c>
      <c r="F21">
        <f t="shared" si="3"/>
        <v>13680</v>
      </c>
      <c r="G21">
        <f t="shared" si="5"/>
        <v>42</v>
      </c>
      <c r="H21">
        <f t="shared" si="2"/>
        <v>1.5350877192982455E-2</v>
      </c>
      <c r="I21">
        <f t="shared" si="0"/>
        <v>1.5350877192982455</v>
      </c>
      <c r="J21">
        <v>4130</v>
      </c>
      <c r="K21" s="2">
        <v>500000000000</v>
      </c>
      <c r="L21">
        <v>3650</v>
      </c>
      <c r="M21">
        <v>483</v>
      </c>
      <c r="N21" s="2">
        <v>-10000000000000</v>
      </c>
      <c r="O21" s="2">
        <v>2000000000000</v>
      </c>
      <c r="P21">
        <f t="shared" si="1"/>
        <v>2.4213075060532687</v>
      </c>
    </row>
    <row r="22" spans="1:16" x14ac:dyDescent="0.2">
      <c r="A22">
        <v>105</v>
      </c>
      <c r="B22">
        <v>25</v>
      </c>
      <c r="C22">
        <v>1155</v>
      </c>
      <c r="D22">
        <v>8700</v>
      </c>
      <c r="E22">
        <f t="shared" si="4"/>
        <v>416</v>
      </c>
      <c r="F22">
        <f t="shared" si="3"/>
        <v>15120</v>
      </c>
      <c r="G22">
        <f t="shared" si="5"/>
        <v>41.6</v>
      </c>
      <c r="H22">
        <f t="shared" si="2"/>
        <v>2.7513227513227514E-2</v>
      </c>
      <c r="I22">
        <f t="shared" si="0"/>
        <v>2.7513227513227512</v>
      </c>
      <c r="J22">
        <v>4130</v>
      </c>
      <c r="K22" s="2">
        <v>500000000000</v>
      </c>
      <c r="L22">
        <v>3650</v>
      </c>
      <c r="M22">
        <v>483</v>
      </c>
      <c r="N22" s="2">
        <v>-10000000000000</v>
      </c>
      <c r="O22" s="2">
        <v>2000000000000</v>
      </c>
      <c r="P22">
        <f t="shared" si="1"/>
        <v>2.4213075060532687</v>
      </c>
    </row>
    <row r="23" spans="1:16" x14ac:dyDescent="0.2">
      <c r="A23">
        <v>115</v>
      </c>
      <c r="B23">
        <v>25</v>
      </c>
      <c r="C23">
        <v>1582</v>
      </c>
      <c r="D23">
        <v>8700</v>
      </c>
      <c r="E23">
        <f t="shared" si="4"/>
        <v>427</v>
      </c>
      <c r="F23">
        <f t="shared" si="3"/>
        <v>16560</v>
      </c>
      <c r="G23">
        <f t="shared" si="5"/>
        <v>42.7</v>
      </c>
      <c r="H23">
        <f t="shared" si="2"/>
        <v>2.5785024154589373E-2</v>
      </c>
      <c r="I23">
        <f t="shared" si="0"/>
        <v>2.5785024154589373</v>
      </c>
      <c r="J23">
        <v>4130</v>
      </c>
      <c r="K23" s="2">
        <v>500000000000</v>
      </c>
      <c r="L23">
        <v>3650</v>
      </c>
      <c r="M23">
        <v>483</v>
      </c>
      <c r="N23" s="2">
        <v>-10000000000000</v>
      </c>
      <c r="O23" s="2">
        <v>2000000000000</v>
      </c>
      <c r="P23">
        <f t="shared" si="1"/>
        <v>2.4213075060532687</v>
      </c>
    </row>
    <row r="24" spans="1:16" x14ac:dyDescent="0.2">
      <c r="A24">
        <v>120</v>
      </c>
      <c r="B24">
        <v>25</v>
      </c>
      <c r="C24">
        <v>1781</v>
      </c>
      <c r="D24">
        <v>8700</v>
      </c>
      <c r="E24">
        <f t="shared" si="4"/>
        <v>199</v>
      </c>
      <c r="F24">
        <f t="shared" si="3"/>
        <v>17280</v>
      </c>
      <c r="G24">
        <f t="shared" si="5"/>
        <v>39.799999999999997</v>
      </c>
      <c r="H24">
        <f t="shared" si="2"/>
        <v>1.1516203703703704E-2</v>
      </c>
      <c r="I24">
        <f t="shared" si="0"/>
        <v>1.1516203703703705</v>
      </c>
      <c r="J24">
        <v>4130</v>
      </c>
      <c r="K24" s="2">
        <v>500000000000</v>
      </c>
      <c r="L24">
        <v>3650</v>
      </c>
      <c r="M24">
        <v>483</v>
      </c>
      <c r="N24" s="2">
        <v>-10000000000000</v>
      </c>
      <c r="O24" s="2">
        <v>2000000000000</v>
      </c>
      <c r="P24">
        <f t="shared" si="1"/>
        <v>2.4213075060532687</v>
      </c>
    </row>
    <row r="25" spans="1:16" x14ac:dyDescent="0.2">
      <c r="A25">
        <v>130</v>
      </c>
      <c r="B25">
        <v>25</v>
      </c>
      <c r="C25">
        <v>2138</v>
      </c>
      <c r="D25">
        <v>8700</v>
      </c>
      <c r="E25">
        <f t="shared" si="4"/>
        <v>357</v>
      </c>
      <c r="F25">
        <f t="shared" si="3"/>
        <v>18720</v>
      </c>
      <c r="G25">
        <f t="shared" si="5"/>
        <v>35.700000000000003</v>
      </c>
      <c r="H25">
        <f t="shared" si="2"/>
        <v>1.9070512820512822E-2</v>
      </c>
      <c r="I25">
        <f t="shared" si="0"/>
        <v>1.9070512820512822</v>
      </c>
      <c r="J25">
        <v>4130</v>
      </c>
      <c r="K25" s="2">
        <v>500000000000</v>
      </c>
      <c r="L25">
        <v>3650</v>
      </c>
      <c r="M25">
        <v>483</v>
      </c>
      <c r="N25" s="2">
        <v>-10000000000000</v>
      </c>
      <c r="O25" s="2">
        <v>2000000000000</v>
      </c>
      <c r="P25">
        <f t="shared" si="1"/>
        <v>2.4213075060532687</v>
      </c>
    </row>
    <row r="26" spans="1:16" x14ac:dyDescent="0.2">
      <c r="A26">
        <v>136</v>
      </c>
      <c r="B26">
        <v>25</v>
      </c>
      <c r="C26">
        <v>2325</v>
      </c>
      <c r="D26">
        <v>8700</v>
      </c>
      <c r="E26">
        <f t="shared" si="4"/>
        <v>187</v>
      </c>
      <c r="F26">
        <f t="shared" si="3"/>
        <v>19584</v>
      </c>
      <c r="G26">
        <f t="shared" si="5"/>
        <v>31.166666666666668</v>
      </c>
      <c r="H26">
        <f t="shared" si="2"/>
        <v>9.5486111111111119E-3</v>
      </c>
      <c r="I26">
        <f t="shared" si="0"/>
        <v>0.95486111111111116</v>
      </c>
      <c r="J26">
        <v>4130</v>
      </c>
      <c r="K26" s="2">
        <v>500000000000</v>
      </c>
      <c r="L26">
        <v>3650</v>
      </c>
      <c r="M26">
        <v>483</v>
      </c>
      <c r="N26" s="2">
        <v>-10000000000000</v>
      </c>
      <c r="O26" s="2">
        <v>2000000000000</v>
      </c>
      <c r="P26">
        <f t="shared" si="1"/>
        <v>2.4213075060532687</v>
      </c>
    </row>
    <row r="27" spans="1:16" x14ac:dyDescent="0.2">
      <c r="A27">
        <v>144</v>
      </c>
      <c r="B27">
        <v>25</v>
      </c>
      <c r="C27">
        <v>2548</v>
      </c>
      <c r="D27">
        <v>8700</v>
      </c>
      <c r="E27">
        <f t="shared" si="4"/>
        <v>223</v>
      </c>
      <c r="F27">
        <f t="shared" si="3"/>
        <v>20736</v>
      </c>
      <c r="G27">
        <f t="shared" si="5"/>
        <v>27.875</v>
      </c>
      <c r="H27">
        <f t="shared" si="2"/>
        <v>1.0754243827160493E-2</v>
      </c>
      <c r="I27">
        <f t="shared" si="0"/>
        <v>1.0754243827160492</v>
      </c>
      <c r="J27">
        <v>4130</v>
      </c>
      <c r="K27" s="2">
        <v>500000000000</v>
      </c>
      <c r="L27">
        <v>3650</v>
      </c>
      <c r="M27">
        <v>483</v>
      </c>
      <c r="N27" s="2">
        <v>-10000000000000</v>
      </c>
      <c r="O27" s="2">
        <v>2000000000000</v>
      </c>
      <c r="P27">
        <f t="shared" si="1"/>
        <v>2.4213075060532687</v>
      </c>
    </row>
    <row r="28" spans="1:16" x14ac:dyDescent="0.2">
      <c r="A28">
        <v>181</v>
      </c>
      <c r="B28">
        <v>25</v>
      </c>
      <c r="C28">
        <v>3611</v>
      </c>
      <c r="D28">
        <f>(F28-F27)*(1000/3600)+D27</f>
        <v>10180</v>
      </c>
      <c r="E28">
        <f t="shared" si="4"/>
        <v>1063</v>
      </c>
      <c r="F28">
        <f t="shared" si="3"/>
        <v>26064</v>
      </c>
      <c r="G28">
        <f t="shared" si="5"/>
        <v>28.72972972972973</v>
      </c>
      <c r="H28">
        <f t="shared" si="2"/>
        <v>4.0784223449969306E-2</v>
      </c>
      <c r="I28">
        <f t="shared" si="0"/>
        <v>4.0784223449969303</v>
      </c>
      <c r="J28">
        <v>4130</v>
      </c>
      <c r="K28" s="2">
        <v>500000000000</v>
      </c>
      <c r="L28">
        <v>3650</v>
      </c>
      <c r="M28">
        <v>483</v>
      </c>
      <c r="N28" s="2">
        <v>-10000000000000</v>
      </c>
      <c r="O28" s="2">
        <v>2000000000000</v>
      </c>
      <c r="P28">
        <f t="shared" si="1"/>
        <v>2.4213075060532687</v>
      </c>
    </row>
    <row r="29" spans="1:16" x14ac:dyDescent="0.2">
      <c r="A29">
        <v>191</v>
      </c>
      <c r="B29">
        <v>25</v>
      </c>
      <c r="C29">
        <v>3883</v>
      </c>
      <c r="D29">
        <f>(F29-F28)*(1000/3600)+D28</f>
        <v>10580</v>
      </c>
      <c r="E29">
        <f>C29-C28</f>
        <v>272</v>
      </c>
      <c r="F29">
        <f t="shared" si="3"/>
        <v>27504</v>
      </c>
      <c r="G29">
        <f>E29/(A29-A28)</f>
        <v>27.2</v>
      </c>
      <c r="H29">
        <f>E29/(3600/B29*A29)</f>
        <v>9.8894706224549149E-3</v>
      </c>
      <c r="I29">
        <f>H29*100</f>
        <v>0.98894706224549145</v>
      </c>
      <c r="J29">
        <v>4130</v>
      </c>
      <c r="K29" s="2">
        <v>500000000000</v>
      </c>
      <c r="L29">
        <v>3650</v>
      </c>
      <c r="M29">
        <v>483</v>
      </c>
      <c r="N29" s="2">
        <v>-10000000000000</v>
      </c>
      <c r="O29" s="2">
        <v>2000000000000</v>
      </c>
      <c r="P29">
        <f t="shared" si="1"/>
        <v>2.4213075060532687</v>
      </c>
    </row>
    <row r="30" spans="1:16" x14ac:dyDescent="0.2">
      <c r="A30">
        <v>195</v>
      </c>
      <c r="B30">
        <v>25</v>
      </c>
      <c r="C30">
        <v>4073</v>
      </c>
      <c r="D30">
        <f>(F30-F29)*(1000/3600)+D29</f>
        <v>10740</v>
      </c>
      <c r="E30">
        <f>C30-C29</f>
        <v>190</v>
      </c>
      <c r="F30">
        <f t="shared" si="3"/>
        <v>28080</v>
      </c>
      <c r="G30">
        <f>E30/(A30-A29)</f>
        <v>47.5</v>
      </c>
      <c r="H30">
        <f>E30/(3600/B30*A30)</f>
        <v>6.7663817663817663E-3</v>
      </c>
      <c r="I30">
        <f>H30*100</f>
        <v>0.6766381766381766</v>
      </c>
      <c r="J30">
        <v>4130</v>
      </c>
      <c r="K30" s="2">
        <v>500000000000</v>
      </c>
      <c r="L30">
        <v>3650</v>
      </c>
      <c r="M30">
        <v>483</v>
      </c>
      <c r="N30" s="2">
        <v>-10000000000000</v>
      </c>
      <c r="O30" s="2">
        <v>2000000000000</v>
      </c>
      <c r="P30">
        <f t="shared" si="1"/>
        <v>2.4213075060532687</v>
      </c>
    </row>
    <row r="31" spans="1:16" x14ac:dyDescent="0.2">
      <c r="K31" s="2"/>
      <c r="N31" s="2"/>
      <c r="O31" s="2"/>
    </row>
    <row r="32" spans="1:16" x14ac:dyDescent="0.2">
      <c r="K32" s="2"/>
      <c r="N32" s="2"/>
      <c r="O32" s="2"/>
    </row>
    <row r="33" spans="11:15" x14ac:dyDescent="0.2">
      <c r="K33" s="2"/>
      <c r="N33" s="2"/>
      <c r="O33" s="2"/>
    </row>
    <row r="34" spans="11:15" x14ac:dyDescent="0.2">
      <c r="K34" s="2"/>
      <c r="N34" s="2"/>
      <c r="O34" s="2"/>
    </row>
    <row r="35" spans="11:15" x14ac:dyDescent="0.2">
      <c r="K35" s="2"/>
      <c r="N35" s="2"/>
      <c r="O35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D111-BDEB-1E45-BEFF-456E7E551FA9}">
  <dimension ref="A1:P48"/>
  <sheetViews>
    <sheetView topLeftCell="G19" workbookViewId="0">
      <selection activeCell="K44" sqref="K44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C2">
        <v>0.1</v>
      </c>
      <c r="D2">
        <v>8760</v>
      </c>
      <c r="E2" cm="1">
        <f t="array" aca="1" ref="E2" ca="1">E2:G297</f>
        <v>0</v>
      </c>
      <c r="F2" cm="1">
        <f t="array" aca="1" ref="F2" ca="1">F2:H317</f>
        <v>0</v>
      </c>
      <c r="G2">
        <v>0</v>
      </c>
      <c r="H2">
        <v>0</v>
      </c>
      <c r="I2">
        <f>H2*100</f>
        <v>0</v>
      </c>
      <c r="J2">
        <v>4080</v>
      </c>
      <c r="K2" s="2">
        <v>300000000000</v>
      </c>
      <c r="L2">
        <v>2667</v>
      </c>
      <c r="M2">
        <v>1414</v>
      </c>
      <c r="N2" s="2">
        <v>-60000000000000</v>
      </c>
      <c r="O2" s="2">
        <v>-10000000000000</v>
      </c>
      <c r="P2">
        <f>(60/4080)*100</f>
        <v>1.4705882352941175</v>
      </c>
    </row>
    <row r="3" spans="1:16" x14ac:dyDescent="0.2">
      <c r="A3">
        <v>5</v>
      </c>
      <c r="B3">
        <v>40</v>
      </c>
      <c r="C3">
        <v>0.27</v>
      </c>
      <c r="D3">
        <v>8760</v>
      </c>
      <c r="E3">
        <f>C3-C2</f>
        <v>0.17</v>
      </c>
      <c r="F3">
        <f>3600/B3*A3</f>
        <v>450</v>
      </c>
      <c r="G3">
        <f>E3/A3</f>
        <v>3.4000000000000002E-2</v>
      </c>
      <c r="H3">
        <f>E3/(3600/B3*A3)</f>
        <v>3.7777777777777782E-4</v>
      </c>
      <c r="I3">
        <f t="shared" ref="I3:I38" si="0">H3*100</f>
        <v>3.7777777777777785E-2</v>
      </c>
      <c r="J3">
        <v>4080</v>
      </c>
      <c r="K3" s="2">
        <v>300000000000</v>
      </c>
      <c r="L3">
        <v>2667</v>
      </c>
      <c r="M3">
        <v>1414</v>
      </c>
      <c r="N3" s="2">
        <v>-60000000000000</v>
      </c>
      <c r="O3" s="2">
        <v>-10000000000000</v>
      </c>
      <c r="P3">
        <f t="shared" ref="P3:P48" si="1">(60/4080)*100</f>
        <v>1.4705882352941175</v>
      </c>
    </row>
    <row r="4" spans="1:16" x14ac:dyDescent="0.2">
      <c r="A4">
        <v>9</v>
      </c>
      <c r="B4">
        <v>40</v>
      </c>
      <c r="C4">
        <v>0.73</v>
      </c>
      <c r="D4">
        <v>8760</v>
      </c>
      <c r="E4">
        <f>C4-C3</f>
        <v>0.45999999999999996</v>
      </c>
      <c r="F4">
        <f>3600/B4*A4</f>
        <v>810</v>
      </c>
      <c r="G4">
        <f>E4/(A4-A3)</f>
        <v>0.11499999999999999</v>
      </c>
      <c r="H4">
        <f t="shared" ref="H4:H38" si="2">E4/(3600/B4*A4)</f>
        <v>5.6790123456790123E-4</v>
      </c>
      <c r="I4">
        <f t="shared" si="0"/>
        <v>5.6790123456790124E-2</v>
      </c>
      <c r="J4">
        <v>4080</v>
      </c>
      <c r="K4" s="2">
        <v>300000000000</v>
      </c>
      <c r="L4">
        <v>2667</v>
      </c>
      <c r="M4">
        <v>1414</v>
      </c>
      <c r="N4" s="2">
        <v>-60000000000000</v>
      </c>
      <c r="O4" s="2">
        <v>-10000000000000</v>
      </c>
      <c r="P4">
        <f t="shared" si="1"/>
        <v>1.4705882352941175</v>
      </c>
    </row>
    <row r="5" spans="1:16" x14ac:dyDescent="0.2">
      <c r="A5">
        <v>15</v>
      </c>
      <c r="B5">
        <v>40</v>
      </c>
      <c r="C5">
        <v>1.1399999999999999</v>
      </c>
      <c r="D5">
        <v>8760</v>
      </c>
      <c r="E5">
        <f>C5-C4</f>
        <v>0.40999999999999992</v>
      </c>
      <c r="F5">
        <f t="shared" ref="F5:F38" si="3">3600/B5*A5</f>
        <v>1350</v>
      </c>
      <c r="G5">
        <f>E5/(A5-A4)</f>
        <v>6.8333333333333315E-2</v>
      </c>
      <c r="H5">
        <f t="shared" si="2"/>
        <v>3.0370370370370366E-4</v>
      </c>
      <c r="I5">
        <f t="shared" si="0"/>
        <v>3.0370370370370367E-2</v>
      </c>
      <c r="J5">
        <v>4080</v>
      </c>
      <c r="K5" s="2">
        <v>300000000000</v>
      </c>
      <c r="L5">
        <v>2667</v>
      </c>
      <c r="M5">
        <v>1414</v>
      </c>
      <c r="N5" s="2">
        <v>-60000000000000</v>
      </c>
      <c r="O5" s="2">
        <v>-10000000000000</v>
      </c>
      <c r="P5">
        <f t="shared" si="1"/>
        <v>1.4705882352941175</v>
      </c>
    </row>
    <row r="6" spans="1:16" x14ac:dyDescent="0.2">
      <c r="A6">
        <v>20</v>
      </c>
      <c r="B6">
        <v>25</v>
      </c>
      <c r="C6">
        <v>1.53</v>
      </c>
      <c r="D6">
        <v>8740</v>
      </c>
      <c r="E6">
        <f t="shared" ref="E6:E38" si="4">C6-C5</f>
        <v>0.39000000000000012</v>
      </c>
      <c r="F6">
        <f t="shared" si="3"/>
        <v>2880</v>
      </c>
      <c r="G6">
        <f t="shared" ref="G6:G38" si="5">E6/(A6-A5)</f>
        <v>7.8000000000000028E-2</v>
      </c>
      <c r="H6">
        <f t="shared" si="2"/>
        <v>1.3541666666666671E-4</v>
      </c>
      <c r="I6">
        <f t="shared" si="0"/>
        <v>1.3541666666666671E-2</v>
      </c>
      <c r="J6">
        <v>4080</v>
      </c>
      <c r="K6" s="2">
        <v>300000000000</v>
      </c>
      <c r="L6">
        <v>2667</v>
      </c>
      <c r="M6">
        <v>1414</v>
      </c>
      <c r="N6" s="2">
        <v>-60000000000000</v>
      </c>
      <c r="O6" s="2">
        <v>-10000000000000</v>
      </c>
      <c r="P6">
        <f t="shared" si="1"/>
        <v>1.4705882352941175</v>
      </c>
    </row>
    <row r="7" spans="1:16" x14ac:dyDescent="0.2">
      <c r="A7">
        <v>25</v>
      </c>
      <c r="B7">
        <v>25</v>
      </c>
      <c r="C7">
        <v>2.1</v>
      </c>
      <c r="D7">
        <v>8720</v>
      </c>
      <c r="E7">
        <f t="shared" si="4"/>
        <v>0.57000000000000006</v>
      </c>
      <c r="F7">
        <f t="shared" si="3"/>
        <v>3600</v>
      </c>
      <c r="G7">
        <f t="shared" si="5"/>
        <v>0.11400000000000002</v>
      </c>
      <c r="H7">
        <f t="shared" si="2"/>
        <v>1.5833333333333335E-4</v>
      </c>
      <c r="I7">
        <f t="shared" si="0"/>
        <v>1.5833333333333335E-2</v>
      </c>
      <c r="J7">
        <v>4080</v>
      </c>
      <c r="K7" s="2">
        <v>300000000000</v>
      </c>
      <c r="L7">
        <v>2667</v>
      </c>
      <c r="M7">
        <v>1414</v>
      </c>
      <c r="N7" s="2">
        <v>-60000000000000</v>
      </c>
      <c r="O7" s="2">
        <v>-10000000000000</v>
      </c>
      <c r="P7">
        <f t="shared" si="1"/>
        <v>1.4705882352941175</v>
      </c>
    </row>
    <row r="8" spans="1:16" x14ac:dyDescent="0.2">
      <c r="A8">
        <v>30</v>
      </c>
      <c r="B8">
        <v>25</v>
      </c>
      <c r="C8">
        <v>2.85</v>
      </c>
      <c r="D8">
        <v>8700</v>
      </c>
      <c r="E8">
        <f t="shared" si="4"/>
        <v>0.75</v>
      </c>
      <c r="F8">
        <f t="shared" si="3"/>
        <v>4320</v>
      </c>
      <c r="G8">
        <f t="shared" si="5"/>
        <v>0.15</v>
      </c>
      <c r="H8">
        <f t="shared" si="2"/>
        <v>1.7361111111111112E-4</v>
      </c>
      <c r="I8">
        <f t="shared" si="0"/>
        <v>1.7361111111111112E-2</v>
      </c>
      <c r="J8">
        <v>4080</v>
      </c>
      <c r="K8" s="2">
        <v>300000000000</v>
      </c>
      <c r="L8">
        <v>2667</v>
      </c>
      <c r="M8">
        <v>1414</v>
      </c>
      <c r="N8" s="2">
        <v>-60000000000000</v>
      </c>
      <c r="O8" s="2">
        <v>-10000000000000</v>
      </c>
      <c r="P8">
        <f t="shared" si="1"/>
        <v>1.4705882352941175</v>
      </c>
    </row>
    <row r="9" spans="1:16" x14ac:dyDescent="0.2">
      <c r="A9">
        <v>35</v>
      </c>
      <c r="B9">
        <v>25</v>
      </c>
      <c r="C9">
        <v>4.1100000000000003</v>
      </c>
      <c r="D9">
        <v>8680</v>
      </c>
      <c r="E9">
        <f t="shared" si="4"/>
        <v>1.2600000000000002</v>
      </c>
      <c r="F9">
        <f t="shared" si="3"/>
        <v>5040</v>
      </c>
      <c r="G9">
        <f t="shared" si="5"/>
        <v>0.25200000000000006</v>
      </c>
      <c r="H9">
        <f t="shared" si="2"/>
        <v>2.5000000000000006E-4</v>
      </c>
      <c r="I9">
        <f t="shared" si="0"/>
        <v>2.5000000000000005E-2</v>
      </c>
      <c r="J9">
        <v>4080</v>
      </c>
      <c r="K9" s="2">
        <v>300000000000</v>
      </c>
      <c r="L9">
        <v>2667</v>
      </c>
      <c r="M9">
        <v>1414</v>
      </c>
      <c r="N9" s="2">
        <v>-60000000000000</v>
      </c>
      <c r="O9" s="2">
        <v>-10000000000000</v>
      </c>
      <c r="P9">
        <f t="shared" si="1"/>
        <v>1.4705882352941175</v>
      </c>
    </row>
    <row r="10" spans="1:16" x14ac:dyDescent="0.2">
      <c r="A10">
        <v>40</v>
      </c>
      <c r="B10">
        <v>25</v>
      </c>
      <c r="C10">
        <v>6.1</v>
      </c>
      <c r="D10">
        <v>8660</v>
      </c>
      <c r="E10">
        <f t="shared" si="4"/>
        <v>1.9899999999999993</v>
      </c>
      <c r="F10">
        <f t="shared" si="3"/>
        <v>5760</v>
      </c>
      <c r="G10">
        <f t="shared" si="5"/>
        <v>0.39799999999999985</v>
      </c>
      <c r="H10">
        <f t="shared" si="2"/>
        <v>3.4548611111111097E-4</v>
      </c>
      <c r="I10">
        <f t="shared" si="0"/>
        <v>3.4548611111111099E-2</v>
      </c>
      <c r="J10">
        <v>4080</v>
      </c>
      <c r="K10" s="2">
        <v>300000000000</v>
      </c>
      <c r="L10">
        <v>2667</v>
      </c>
      <c r="M10">
        <v>1414</v>
      </c>
      <c r="N10" s="2">
        <v>-60000000000000</v>
      </c>
      <c r="O10" s="2">
        <v>-10000000000000</v>
      </c>
      <c r="P10">
        <f t="shared" si="1"/>
        <v>1.4705882352941175</v>
      </c>
    </row>
    <row r="11" spans="1:16" x14ac:dyDescent="0.2">
      <c r="A11">
        <v>45</v>
      </c>
      <c r="B11">
        <v>25</v>
      </c>
      <c r="C11">
        <v>10.06</v>
      </c>
      <c r="D11">
        <v>8640</v>
      </c>
      <c r="E11">
        <f t="shared" si="4"/>
        <v>3.9600000000000009</v>
      </c>
      <c r="F11">
        <f t="shared" si="3"/>
        <v>6480</v>
      </c>
      <c r="G11">
        <f t="shared" si="5"/>
        <v>0.79200000000000015</v>
      </c>
      <c r="H11">
        <f t="shared" si="2"/>
        <v>6.1111111111111121E-4</v>
      </c>
      <c r="I11">
        <f t="shared" si="0"/>
        <v>6.1111111111111123E-2</v>
      </c>
      <c r="J11">
        <v>4080</v>
      </c>
      <c r="K11" s="2">
        <v>300000000000</v>
      </c>
      <c r="L11">
        <v>2667</v>
      </c>
      <c r="M11">
        <v>1414</v>
      </c>
      <c r="N11" s="2">
        <v>-60000000000000</v>
      </c>
      <c r="O11" s="2">
        <v>-10000000000000</v>
      </c>
      <c r="P11">
        <f t="shared" si="1"/>
        <v>1.4705882352941175</v>
      </c>
    </row>
    <row r="12" spans="1:16" x14ac:dyDescent="0.2">
      <c r="A12">
        <v>50</v>
      </c>
      <c r="B12">
        <v>25</v>
      </c>
      <c r="C12">
        <v>15.78</v>
      </c>
      <c r="D12">
        <v>8620</v>
      </c>
      <c r="E12">
        <f t="shared" si="4"/>
        <v>5.7199999999999989</v>
      </c>
      <c r="F12">
        <f t="shared" si="3"/>
        <v>7200</v>
      </c>
      <c r="G12">
        <f t="shared" si="5"/>
        <v>1.1439999999999997</v>
      </c>
      <c r="H12">
        <f t="shared" si="2"/>
        <v>7.944444444444443E-4</v>
      </c>
      <c r="I12">
        <f t="shared" si="0"/>
        <v>7.9444444444444429E-2</v>
      </c>
      <c r="J12">
        <v>4080</v>
      </c>
      <c r="K12" s="2">
        <v>300000000000</v>
      </c>
      <c r="L12">
        <v>2667</v>
      </c>
      <c r="M12">
        <v>1414</v>
      </c>
      <c r="N12" s="2">
        <v>-60000000000000</v>
      </c>
      <c r="O12" s="2">
        <v>-10000000000000</v>
      </c>
      <c r="P12">
        <f t="shared" si="1"/>
        <v>1.4705882352941175</v>
      </c>
    </row>
    <row r="13" spans="1:16" x14ac:dyDescent="0.2">
      <c r="A13">
        <v>55</v>
      </c>
      <c r="B13">
        <v>25</v>
      </c>
      <c r="C13">
        <v>25.47</v>
      </c>
      <c r="D13">
        <v>8600</v>
      </c>
      <c r="E13">
        <f t="shared" si="4"/>
        <v>9.69</v>
      </c>
      <c r="F13">
        <f t="shared" si="3"/>
        <v>7920</v>
      </c>
      <c r="G13">
        <f t="shared" si="5"/>
        <v>1.9379999999999999</v>
      </c>
      <c r="H13">
        <f t="shared" si="2"/>
        <v>1.2234848484848485E-3</v>
      </c>
      <c r="I13">
        <f t="shared" si="0"/>
        <v>0.12234848484848485</v>
      </c>
      <c r="J13">
        <v>4080</v>
      </c>
      <c r="K13" s="2">
        <v>300000000000</v>
      </c>
      <c r="L13">
        <v>2667</v>
      </c>
      <c r="M13">
        <v>1414</v>
      </c>
      <c r="N13" s="2">
        <v>-60000000000000</v>
      </c>
      <c r="O13" s="2">
        <v>-10000000000000</v>
      </c>
      <c r="P13">
        <f t="shared" si="1"/>
        <v>1.4705882352941175</v>
      </c>
    </row>
    <row r="14" spans="1:16" x14ac:dyDescent="0.2">
      <c r="A14">
        <v>60</v>
      </c>
      <c r="B14">
        <v>25</v>
      </c>
      <c r="C14">
        <v>41.85</v>
      </c>
      <c r="D14">
        <v>8600</v>
      </c>
      <c r="E14">
        <f t="shared" si="4"/>
        <v>16.380000000000003</v>
      </c>
      <c r="F14">
        <f t="shared" si="3"/>
        <v>8640</v>
      </c>
      <c r="G14">
        <f t="shared" si="5"/>
        <v>3.2760000000000007</v>
      </c>
      <c r="H14">
        <f t="shared" si="2"/>
        <v>1.8958333333333336E-3</v>
      </c>
      <c r="I14">
        <f t="shared" si="0"/>
        <v>0.18958333333333335</v>
      </c>
      <c r="J14">
        <v>4080</v>
      </c>
      <c r="K14" s="2">
        <v>300000000000</v>
      </c>
      <c r="L14">
        <v>2667</v>
      </c>
      <c r="M14">
        <v>1414</v>
      </c>
      <c r="N14" s="2">
        <v>-60000000000000</v>
      </c>
      <c r="O14" s="2">
        <v>-10000000000000</v>
      </c>
      <c r="P14">
        <f t="shared" si="1"/>
        <v>1.4705882352941175</v>
      </c>
    </row>
    <row r="15" spans="1:16" x14ac:dyDescent="0.2">
      <c r="A15">
        <v>65</v>
      </c>
      <c r="B15">
        <v>25</v>
      </c>
      <c r="C15">
        <v>70.23</v>
      </c>
      <c r="D15">
        <v>8600</v>
      </c>
      <c r="E15">
        <f t="shared" si="4"/>
        <v>28.380000000000003</v>
      </c>
      <c r="F15">
        <f t="shared" si="3"/>
        <v>9360</v>
      </c>
      <c r="G15">
        <f t="shared" si="5"/>
        <v>5.6760000000000002</v>
      </c>
      <c r="H15">
        <f t="shared" si="2"/>
        <v>3.0320512820512825E-3</v>
      </c>
      <c r="I15">
        <f t="shared" si="0"/>
        <v>0.30320512820512824</v>
      </c>
      <c r="J15">
        <v>4080</v>
      </c>
      <c r="K15" s="2">
        <v>300000000000</v>
      </c>
      <c r="L15">
        <v>2667</v>
      </c>
      <c r="M15">
        <v>1414</v>
      </c>
      <c r="N15" s="2">
        <v>-60000000000000</v>
      </c>
      <c r="O15" s="2">
        <v>-10000000000000</v>
      </c>
      <c r="P15">
        <f t="shared" si="1"/>
        <v>1.4705882352941175</v>
      </c>
    </row>
    <row r="16" spans="1:16" x14ac:dyDescent="0.2">
      <c r="A16">
        <v>70</v>
      </c>
      <c r="B16">
        <v>25</v>
      </c>
      <c r="C16">
        <v>105.88</v>
      </c>
      <c r="D16">
        <v>8580</v>
      </c>
      <c r="E16">
        <f t="shared" si="4"/>
        <v>35.649999999999991</v>
      </c>
      <c r="F16">
        <f t="shared" si="3"/>
        <v>10080</v>
      </c>
      <c r="G16">
        <f t="shared" si="5"/>
        <v>7.1299999999999981</v>
      </c>
      <c r="H16">
        <f t="shared" si="2"/>
        <v>3.5367063492063484E-3</v>
      </c>
      <c r="I16">
        <f t="shared" si="0"/>
        <v>0.35367063492063483</v>
      </c>
      <c r="J16">
        <v>4080</v>
      </c>
      <c r="K16" s="2">
        <v>300000000000</v>
      </c>
      <c r="L16">
        <v>2667</v>
      </c>
      <c r="M16">
        <v>1414</v>
      </c>
      <c r="N16" s="2">
        <v>-60000000000000</v>
      </c>
      <c r="O16" s="2">
        <v>-10000000000000</v>
      </c>
      <c r="P16">
        <f t="shared" si="1"/>
        <v>1.4705882352941175</v>
      </c>
    </row>
    <row r="17" spans="1:16" x14ac:dyDescent="0.2">
      <c r="A17">
        <v>75</v>
      </c>
      <c r="B17">
        <v>25</v>
      </c>
      <c r="C17">
        <v>163</v>
      </c>
      <c r="D17">
        <v>8560</v>
      </c>
      <c r="E17">
        <f t="shared" si="4"/>
        <v>57.120000000000005</v>
      </c>
      <c r="F17">
        <f t="shared" si="3"/>
        <v>10800</v>
      </c>
      <c r="G17">
        <f t="shared" si="5"/>
        <v>11.424000000000001</v>
      </c>
      <c r="H17">
        <f t="shared" si="2"/>
        <v>5.288888888888889E-3</v>
      </c>
      <c r="I17">
        <f t="shared" si="0"/>
        <v>0.52888888888888885</v>
      </c>
      <c r="J17">
        <v>4080</v>
      </c>
      <c r="K17" s="2">
        <v>300000000000</v>
      </c>
      <c r="L17">
        <v>2667</v>
      </c>
      <c r="M17">
        <v>1414</v>
      </c>
      <c r="N17" s="2">
        <v>-60000000000000</v>
      </c>
      <c r="O17" s="2">
        <v>-10000000000000</v>
      </c>
      <c r="P17">
        <f t="shared" si="1"/>
        <v>1.4705882352941175</v>
      </c>
    </row>
    <row r="18" spans="1:16" x14ac:dyDescent="0.2">
      <c r="A18">
        <v>80</v>
      </c>
      <c r="B18">
        <v>25</v>
      </c>
      <c r="C18">
        <v>259</v>
      </c>
      <c r="D18">
        <v>8560</v>
      </c>
      <c r="E18">
        <f t="shared" si="4"/>
        <v>96</v>
      </c>
      <c r="F18">
        <f t="shared" si="3"/>
        <v>11520</v>
      </c>
      <c r="G18">
        <f t="shared" si="5"/>
        <v>19.2</v>
      </c>
      <c r="H18">
        <f t="shared" si="2"/>
        <v>8.3333333333333332E-3</v>
      </c>
      <c r="I18">
        <f t="shared" si="0"/>
        <v>0.83333333333333337</v>
      </c>
      <c r="J18">
        <v>4080</v>
      </c>
      <c r="K18" s="2">
        <v>300000000000</v>
      </c>
      <c r="L18">
        <v>2667</v>
      </c>
      <c r="M18">
        <v>1414</v>
      </c>
      <c r="N18" s="2">
        <v>-60000000000000</v>
      </c>
      <c r="O18" s="2">
        <v>-10000000000000</v>
      </c>
      <c r="P18">
        <f t="shared" si="1"/>
        <v>1.4705882352941175</v>
      </c>
    </row>
    <row r="19" spans="1:16" x14ac:dyDescent="0.2">
      <c r="A19">
        <v>85</v>
      </c>
      <c r="B19">
        <v>25</v>
      </c>
      <c r="C19">
        <v>349</v>
      </c>
      <c r="D19">
        <v>8660</v>
      </c>
      <c r="E19">
        <f t="shared" si="4"/>
        <v>90</v>
      </c>
      <c r="F19">
        <f t="shared" si="3"/>
        <v>12240</v>
      </c>
      <c r="G19">
        <f t="shared" si="5"/>
        <v>18</v>
      </c>
      <c r="H19">
        <f t="shared" si="2"/>
        <v>7.3529411764705881E-3</v>
      </c>
      <c r="I19">
        <f t="shared" si="0"/>
        <v>0.73529411764705876</v>
      </c>
      <c r="J19">
        <v>4080</v>
      </c>
      <c r="K19" s="2">
        <v>300000000000</v>
      </c>
      <c r="L19">
        <v>2667</v>
      </c>
      <c r="M19">
        <v>1414</v>
      </c>
      <c r="N19" s="2">
        <v>-60000000000000</v>
      </c>
      <c r="O19" s="2">
        <v>-10000000000000</v>
      </c>
      <c r="P19">
        <f t="shared" si="1"/>
        <v>1.4705882352941175</v>
      </c>
    </row>
    <row r="20" spans="1:16" x14ac:dyDescent="0.2">
      <c r="A20">
        <v>90</v>
      </c>
      <c r="B20">
        <v>25</v>
      </c>
      <c r="C20">
        <v>473</v>
      </c>
      <c r="D20">
        <v>8700</v>
      </c>
      <c r="E20">
        <f t="shared" si="4"/>
        <v>124</v>
      </c>
      <c r="F20">
        <f t="shared" si="3"/>
        <v>12960</v>
      </c>
      <c r="G20">
        <f t="shared" si="5"/>
        <v>24.8</v>
      </c>
      <c r="H20">
        <f t="shared" si="2"/>
        <v>9.5679012345679017E-3</v>
      </c>
      <c r="I20">
        <f t="shared" si="0"/>
        <v>0.95679012345679015</v>
      </c>
      <c r="J20">
        <v>4080</v>
      </c>
      <c r="K20" s="2">
        <v>300000000000</v>
      </c>
      <c r="L20">
        <v>2667</v>
      </c>
      <c r="M20">
        <v>1414</v>
      </c>
      <c r="N20" s="2">
        <v>-60000000000000</v>
      </c>
      <c r="O20" s="2">
        <v>-10000000000000</v>
      </c>
      <c r="P20">
        <f t="shared" si="1"/>
        <v>1.4705882352941175</v>
      </c>
    </row>
    <row r="21" spans="1:16" x14ac:dyDescent="0.2">
      <c r="A21">
        <v>95</v>
      </c>
      <c r="B21">
        <v>25</v>
      </c>
      <c r="C21">
        <v>614</v>
      </c>
      <c r="D21">
        <v>8700</v>
      </c>
      <c r="E21">
        <f t="shared" si="4"/>
        <v>141</v>
      </c>
      <c r="F21">
        <f t="shared" si="3"/>
        <v>13680</v>
      </c>
      <c r="G21">
        <f t="shared" si="5"/>
        <v>28.2</v>
      </c>
      <c r="H21">
        <f t="shared" si="2"/>
        <v>1.030701754385965E-2</v>
      </c>
      <c r="I21">
        <f t="shared" si="0"/>
        <v>1.0307017543859649</v>
      </c>
      <c r="J21">
        <v>4080</v>
      </c>
      <c r="K21" s="2">
        <v>300000000000</v>
      </c>
      <c r="L21">
        <v>2667</v>
      </c>
      <c r="M21">
        <v>1414</v>
      </c>
      <c r="N21" s="2">
        <v>-60000000000000</v>
      </c>
      <c r="O21" s="2">
        <v>-10000000000000</v>
      </c>
      <c r="P21">
        <f t="shared" si="1"/>
        <v>1.4705882352941175</v>
      </c>
    </row>
    <row r="22" spans="1:16" x14ac:dyDescent="0.2">
      <c r="A22">
        <v>100</v>
      </c>
      <c r="B22">
        <v>25</v>
      </c>
      <c r="C22">
        <v>761</v>
      </c>
      <c r="D22">
        <v>8700</v>
      </c>
      <c r="E22">
        <f t="shared" si="4"/>
        <v>147</v>
      </c>
      <c r="F22">
        <f t="shared" si="3"/>
        <v>14400</v>
      </c>
      <c r="G22">
        <f t="shared" si="5"/>
        <v>29.4</v>
      </c>
      <c r="H22">
        <f t="shared" si="2"/>
        <v>1.0208333333333333E-2</v>
      </c>
      <c r="I22">
        <f t="shared" si="0"/>
        <v>1.0208333333333333</v>
      </c>
      <c r="J22">
        <v>4080</v>
      </c>
      <c r="K22" s="2">
        <v>300000000000</v>
      </c>
      <c r="L22">
        <v>2667</v>
      </c>
      <c r="M22">
        <v>1414</v>
      </c>
      <c r="N22" s="2">
        <v>-60000000000000</v>
      </c>
      <c r="O22" s="2">
        <v>-10000000000000</v>
      </c>
      <c r="P22">
        <f t="shared" si="1"/>
        <v>1.4705882352941175</v>
      </c>
    </row>
    <row r="23" spans="1:16" x14ac:dyDescent="0.2">
      <c r="A23">
        <v>105</v>
      </c>
      <c r="B23">
        <v>25</v>
      </c>
      <c r="C23">
        <v>931</v>
      </c>
      <c r="D23">
        <v>8700</v>
      </c>
      <c r="E23">
        <f t="shared" si="4"/>
        <v>170</v>
      </c>
      <c r="F23">
        <f t="shared" si="3"/>
        <v>15120</v>
      </c>
      <c r="G23">
        <f t="shared" si="5"/>
        <v>34</v>
      </c>
      <c r="H23">
        <f t="shared" si="2"/>
        <v>1.1243386243386243E-2</v>
      </c>
      <c r="I23">
        <f t="shared" si="0"/>
        <v>1.1243386243386242</v>
      </c>
      <c r="J23">
        <v>4080</v>
      </c>
      <c r="K23" s="2">
        <v>300000000000</v>
      </c>
      <c r="L23">
        <v>2667</v>
      </c>
      <c r="M23">
        <v>1414</v>
      </c>
      <c r="N23" s="2">
        <v>-60000000000000</v>
      </c>
      <c r="O23" s="2">
        <v>-10000000000000</v>
      </c>
      <c r="P23">
        <f t="shared" si="1"/>
        <v>1.4705882352941175</v>
      </c>
    </row>
    <row r="24" spans="1:16" x14ac:dyDescent="0.2">
      <c r="A24">
        <v>110</v>
      </c>
      <c r="B24">
        <v>25</v>
      </c>
      <c r="C24">
        <v>1074</v>
      </c>
      <c r="D24">
        <v>8700</v>
      </c>
      <c r="E24">
        <f t="shared" si="4"/>
        <v>143</v>
      </c>
      <c r="F24">
        <f t="shared" si="3"/>
        <v>15840</v>
      </c>
      <c r="G24">
        <f t="shared" si="5"/>
        <v>28.6</v>
      </c>
      <c r="H24">
        <f t="shared" si="2"/>
        <v>9.0277777777777769E-3</v>
      </c>
      <c r="I24">
        <f t="shared" si="0"/>
        <v>0.90277777777777768</v>
      </c>
      <c r="J24">
        <v>4080</v>
      </c>
      <c r="K24" s="2">
        <v>300000000000</v>
      </c>
      <c r="L24">
        <v>2667</v>
      </c>
      <c r="M24">
        <v>1414</v>
      </c>
      <c r="N24" s="2">
        <v>-60000000000000</v>
      </c>
      <c r="O24" s="2">
        <v>-10000000000000</v>
      </c>
      <c r="P24">
        <f t="shared" si="1"/>
        <v>1.4705882352941175</v>
      </c>
    </row>
    <row r="25" spans="1:16" x14ac:dyDescent="0.2">
      <c r="A25">
        <v>115</v>
      </c>
      <c r="B25">
        <v>25</v>
      </c>
      <c r="C25">
        <v>1237</v>
      </c>
      <c r="D25">
        <v>8700</v>
      </c>
      <c r="E25">
        <f t="shared" si="4"/>
        <v>163</v>
      </c>
      <c r="F25">
        <f t="shared" si="3"/>
        <v>16560</v>
      </c>
      <c r="G25">
        <f t="shared" si="5"/>
        <v>32.6</v>
      </c>
      <c r="H25">
        <f t="shared" si="2"/>
        <v>9.8429951690821253E-3</v>
      </c>
      <c r="I25">
        <f t="shared" si="0"/>
        <v>0.98429951690821249</v>
      </c>
      <c r="J25">
        <v>4080</v>
      </c>
      <c r="K25" s="2">
        <v>300000000000</v>
      </c>
      <c r="L25">
        <v>2667</v>
      </c>
      <c r="M25">
        <v>1414</v>
      </c>
      <c r="N25" s="2">
        <v>-60000000000000</v>
      </c>
      <c r="O25" s="2">
        <v>-10000000000000</v>
      </c>
      <c r="P25">
        <f t="shared" si="1"/>
        <v>1.4705882352941175</v>
      </c>
    </row>
    <row r="26" spans="1:16" x14ac:dyDescent="0.2">
      <c r="A26">
        <v>121.5</v>
      </c>
      <c r="B26">
        <v>25</v>
      </c>
      <c r="C26">
        <v>1452</v>
      </c>
      <c r="D26">
        <v>8700</v>
      </c>
      <c r="E26">
        <f t="shared" si="4"/>
        <v>215</v>
      </c>
      <c r="F26">
        <f t="shared" si="3"/>
        <v>17496</v>
      </c>
      <c r="G26">
        <f t="shared" si="5"/>
        <v>33.07692307692308</v>
      </c>
      <c r="H26">
        <f t="shared" si="2"/>
        <v>1.2288523090992227E-2</v>
      </c>
      <c r="I26">
        <f t="shared" si="0"/>
        <v>1.2288523090992227</v>
      </c>
      <c r="J26">
        <v>4080</v>
      </c>
      <c r="K26" s="2">
        <v>300000000000</v>
      </c>
      <c r="L26">
        <v>2667</v>
      </c>
      <c r="M26">
        <v>1414</v>
      </c>
      <c r="N26" s="2">
        <v>-60000000000000</v>
      </c>
      <c r="O26" s="2">
        <v>-10000000000000</v>
      </c>
      <c r="P26">
        <f t="shared" si="1"/>
        <v>1.4705882352941175</v>
      </c>
    </row>
    <row r="27" spans="1:16" x14ac:dyDescent="0.2">
      <c r="A27">
        <v>125</v>
      </c>
      <c r="B27">
        <v>25</v>
      </c>
      <c r="C27">
        <v>1575</v>
      </c>
      <c r="D27">
        <v>8700</v>
      </c>
      <c r="E27">
        <f t="shared" si="4"/>
        <v>123</v>
      </c>
      <c r="F27">
        <f t="shared" si="3"/>
        <v>18000</v>
      </c>
      <c r="G27">
        <f t="shared" si="5"/>
        <v>35.142857142857146</v>
      </c>
      <c r="H27">
        <f t="shared" si="2"/>
        <v>6.8333333333333336E-3</v>
      </c>
      <c r="I27">
        <f t="shared" si="0"/>
        <v>0.68333333333333335</v>
      </c>
      <c r="J27">
        <v>4080</v>
      </c>
      <c r="K27" s="2">
        <v>300000000000</v>
      </c>
      <c r="L27">
        <v>2667</v>
      </c>
      <c r="M27">
        <v>1414</v>
      </c>
      <c r="N27" s="2">
        <v>-60000000000000</v>
      </c>
      <c r="O27" s="2">
        <v>-10000000000000</v>
      </c>
      <c r="P27">
        <f t="shared" si="1"/>
        <v>1.4705882352941175</v>
      </c>
    </row>
    <row r="28" spans="1:16" x14ac:dyDescent="0.2">
      <c r="A28">
        <v>130</v>
      </c>
      <c r="B28">
        <v>25</v>
      </c>
      <c r="C28">
        <v>1716</v>
      </c>
      <c r="D28">
        <v>8700</v>
      </c>
      <c r="E28">
        <f t="shared" si="4"/>
        <v>141</v>
      </c>
      <c r="F28">
        <f t="shared" si="3"/>
        <v>18720</v>
      </c>
      <c r="G28">
        <f t="shared" si="5"/>
        <v>28.2</v>
      </c>
      <c r="H28">
        <f t="shared" si="2"/>
        <v>7.5320512820512822E-3</v>
      </c>
      <c r="I28">
        <f t="shared" si="0"/>
        <v>0.75320512820512819</v>
      </c>
      <c r="J28">
        <v>4080</v>
      </c>
      <c r="K28" s="2">
        <v>300000000000</v>
      </c>
      <c r="L28">
        <v>2667</v>
      </c>
      <c r="M28">
        <v>1414</v>
      </c>
      <c r="N28" s="2">
        <v>-60000000000000</v>
      </c>
      <c r="O28" s="2">
        <v>-10000000000000</v>
      </c>
      <c r="P28">
        <f t="shared" si="1"/>
        <v>1.4705882352941175</v>
      </c>
    </row>
    <row r="29" spans="1:16" x14ac:dyDescent="0.2">
      <c r="A29">
        <v>135</v>
      </c>
      <c r="B29">
        <v>25</v>
      </c>
      <c r="C29">
        <v>1877</v>
      </c>
      <c r="D29">
        <v>8700</v>
      </c>
      <c r="E29">
        <f t="shared" si="4"/>
        <v>161</v>
      </c>
      <c r="F29">
        <f t="shared" si="3"/>
        <v>19440</v>
      </c>
      <c r="G29">
        <f t="shared" si="5"/>
        <v>32.200000000000003</v>
      </c>
      <c r="H29">
        <f t="shared" si="2"/>
        <v>8.2818930041152258E-3</v>
      </c>
      <c r="I29">
        <f t="shared" si="0"/>
        <v>0.82818930041152261</v>
      </c>
      <c r="J29">
        <v>4080</v>
      </c>
      <c r="K29" s="2">
        <v>300000000000</v>
      </c>
      <c r="L29">
        <v>2667</v>
      </c>
      <c r="M29">
        <v>1414</v>
      </c>
      <c r="N29" s="2">
        <v>-60000000000000</v>
      </c>
      <c r="O29" s="2">
        <v>-10000000000000</v>
      </c>
      <c r="P29">
        <f t="shared" si="1"/>
        <v>1.4705882352941175</v>
      </c>
    </row>
    <row r="30" spans="1:16" x14ac:dyDescent="0.2">
      <c r="A30">
        <v>140</v>
      </c>
      <c r="B30">
        <v>25</v>
      </c>
      <c r="C30">
        <v>2019</v>
      </c>
      <c r="D30">
        <v>8700</v>
      </c>
      <c r="E30">
        <f t="shared" si="4"/>
        <v>142</v>
      </c>
      <c r="F30">
        <f t="shared" si="3"/>
        <v>20160</v>
      </c>
      <c r="G30">
        <f t="shared" si="5"/>
        <v>28.4</v>
      </c>
      <c r="H30">
        <f t="shared" si="2"/>
        <v>7.0436507936507938E-3</v>
      </c>
      <c r="I30">
        <f t="shared" si="0"/>
        <v>0.70436507936507942</v>
      </c>
      <c r="J30">
        <v>4080</v>
      </c>
      <c r="K30" s="2">
        <v>300000000000</v>
      </c>
      <c r="L30">
        <v>2667</v>
      </c>
      <c r="M30">
        <v>1414</v>
      </c>
      <c r="N30" s="2">
        <v>-60000000000000</v>
      </c>
      <c r="O30" s="2">
        <v>-10000000000000</v>
      </c>
      <c r="P30">
        <f t="shared" si="1"/>
        <v>1.4705882352941175</v>
      </c>
    </row>
    <row r="31" spans="1:16" x14ac:dyDescent="0.2">
      <c r="A31">
        <v>145</v>
      </c>
      <c r="B31">
        <v>25</v>
      </c>
      <c r="C31">
        <v>2151</v>
      </c>
      <c r="D31">
        <v>8700</v>
      </c>
      <c r="E31">
        <f t="shared" si="4"/>
        <v>132</v>
      </c>
      <c r="F31">
        <f t="shared" si="3"/>
        <v>20880</v>
      </c>
      <c r="G31">
        <f t="shared" si="5"/>
        <v>26.4</v>
      </c>
      <c r="H31">
        <f t="shared" si="2"/>
        <v>6.32183908045977E-3</v>
      </c>
      <c r="I31">
        <f t="shared" si="0"/>
        <v>0.63218390804597702</v>
      </c>
      <c r="J31">
        <v>4080</v>
      </c>
      <c r="K31" s="2">
        <v>300000000000</v>
      </c>
      <c r="L31">
        <v>2667</v>
      </c>
      <c r="M31">
        <v>1414</v>
      </c>
      <c r="N31" s="2">
        <v>-60000000000000</v>
      </c>
      <c r="O31" s="2">
        <v>-10000000000000</v>
      </c>
      <c r="P31">
        <f t="shared" si="1"/>
        <v>1.4705882352941175</v>
      </c>
    </row>
    <row r="32" spans="1:16" x14ac:dyDescent="0.2">
      <c r="A32">
        <v>150</v>
      </c>
      <c r="B32">
        <v>25</v>
      </c>
      <c r="C32">
        <v>2283</v>
      </c>
      <c r="D32">
        <v>8700</v>
      </c>
      <c r="E32">
        <f t="shared" si="4"/>
        <v>132</v>
      </c>
      <c r="F32">
        <f t="shared" si="3"/>
        <v>21600</v>
      </c>
      <c r="G32">
        <f t="shared" si="5"/>
        <v>26.4</v>
      </c>
      <c r="H32">
        <f t="shared" si="2"/>
        <v>6.1111111111111114E-3</v>
      </c>
      <c r="I32">
        <f t="shared" si="0"/>
        <v>0.61111111111111116</v>
      </c>
      <c r="J32">
        <v>4080</v>
      </c>
      <c r="K32" s="2">
        <v>300000000000</v>
      </c>
      <c r="L32">
        <v>2667</v>
      </c>
      <c r="M32">
        <v>1414</v>
      </c>
      <c r="N32" s="2">
        <v>-60000000000000</v>
      </c>
      <c r="O32" s="2">
        <v>-10000000000000</v>
      </c>
      <c r="P32">
        <f t="shared" si="1"/>
        <v>1.4705882352941175</v>
      </c>
    </row>
    <row r="33" spans="1:16" x14ac:dyDescent="0.2">
      <c r="A33">
        <v>155</v>
      </c>
      <c r="B33">
        <v>25</v>
      </c>
      <c r="C33">
        <v>2408</v>
      </c>
      <c r="D33">
        <v>8700</v>
      </c>
      <c r="E33">
        <f t="shared" si="4"/>
        <v>125</v>
      </c>
      <c r="F33">
        <f t="shared" si="3"/>
        <v>22320</v>
      </c>
      <c r="G33">
        <f t="shared" si="5"/>
        <v>25</v>
      </c>
      <c r="H33">
        <f t="shared" si="2"/>
        <v>5.600358422939068E-3</v>
      </c>
      <c r="I33">
        <f t="shared" si="0"/>
        <v>0.56003584229390679</v>
      </c>
      <c r="J33">
        <v>4080</v>
      </c>
      <c r="K33" s="2">
        <v>300000000000</v>
      </c>
      <c r="L33">
        <v>2667</v>
      </c>
      <c r="M33">
        <v>1414</v>
      </c>
      <c r="N33" s="2">
        <v>-60000000000000</v>
      </c>
      <c r="O33" s="2">
        <v>-10000000000000</v>
      </c>
      <c r="P33">
        <f t="shared" si="1"/>
        <v>1.4705882352941175</v>
      </c>
    </row>
    <row r="34" spans="1:16" x14ac:dyDescent="0.2">
      <c r="A34">
        <v>165</v>
      </c>
      <c r="B34">
        <v>25</v>
      </c>
      <c r="C34">
        <v>2665</v>
      </c>
      <c r="D34">
        <v>8700</v>
      </c>
      <c r="E34">
        <f t="shared" si="4"/>
        <v>257</v>
      </c>
      <c r="F34">
        <f t="shared" si="3"/>
        <v>23760</v>
      </c>
      <c r="G34">
        <f t="shared" si="5"/>
        <v>25.7</v>
      </c>
      <c r="H34">
        <f t="shared" si="2"/>
        <v>1.0816498316498316E-2</v>
      </c>
      <c r="I34">
        <f t="shared" si="0"/>
        <v>1.0816498316498315</v>
      </c>
      <c r="J34">
        <v>4080</v>
      </c>
      <c r="K34" s="2">
        <v>300000000000</v>
      </c>
      <c r="L34">
        <v>2667</v>
      </c>
      <c r="M34">
        <v>1414</v>
      </c>
      <c r="N34" s="2">
        <v>-60000000000000</v>
      </c>
      <c r="O34" s="2">
        <v>-10000000000000</v>
      </c>
      <c r="P34">
        <f t="shared" si="1"/>
        <v>1.4705882352941175</v>
      </c>
    </row>
    <row r="35" spans="1:16" x14ac:dyDescent="0.2">
      <c r="A35">
        <v>170</v>
      </c>
      <c r="B35">
        <v>25</v>
      </c>
      <c r="C35">
        <v>2800</v>
      </c>
      <c r="D35">
        <v>8700</v>
      </c>
      <c r="E35">
        <f t="shared" si="4"/>
        <v>135</v>
      </c>
      <c r="F35">
        <f t="shared" si="3"/>
        <v>24480</v>
      </c>
      <c r="G35">
        <f t="shared" si="5"/>
        <v>27</v>
      </c>
      <c r="H35">
        <f t="shared" si="2"/>
        <v>5.5147058823529415E-3</v>
      </c>
      <c r="I35">
        <f t="shared" si="0"/>
        <v>0.55147058823529416</v>
      </c>
      <c r="J35">
        <v>4080</v>
      </c>
      <c r="K35" s="2">
        <v>300000000000</v>
      </c>
      <c r="L35">
        <v>2667</v>
      </c>
      <c r="M35">
        <v>1414</v>
      </c>
      <c r="N35" s="2">
        <v>-60000000000000</v>
      </c>
      <c r="O35" s="2">
        <v>-10000000000000</v>
      </c>
      <c r="P35">
        <f t="shared" si="1"/>
        <v>1.4705882352941175</v>
      </c>
    </row>
    <row r="36" spans="1:16" x14ac:dyDescent="0.2">
      <c r="A36">
        <v>172.6</v>
      </c>
      <c r="B36">
        <v>25</v>
      </c>
      <c r="C36">
        <v>2880</v>
      </c>
      <c r="D36">
        <v>8700</v>
      </c>
      <c r="E36">
        <f t="shared" si="4"/>
        <v>80</v>
      </c>
      <c r="F36">
        <f t="shared" si="3"/>
        <v>24854.399999999998</v>
      </c>
      <c r="G36">
        <f t="shared" si="5"/>
        <v>30.769230769230838</v>
      </c>
      <c r="H36">
        <f t="shared" si="2"/>
        <v>3.2187459765675294E-3</v>
      </c>
      <c r="I36">
        <f t="shared" si="0"/>
        <v>0.32187459765675291</v>
      </c>
      <c r="J36">
        <v>4080</v>
      </c>
      <c r="K36" s="2">
        <v>300000000000</v>
      </c>
      <c r="L36">
        <v>2667</v>
      </c>
      <c r="M36">
        <v>1414</v>
      </c>
      <c r="N36" s="2">
        <v>-60000000000000</v>
      </c>
      <c r="O36" s="2">
        <v>-10000000000000</v>
      </c>
      <c r="P36">
        <f t="shared" si="1"/>
        <v>1.4705882352941175</v>
      </c>
    </row>
    <row r="37" spans="1:16" x14ac:dyDescent="0.2">
      <c r="A37">
        <v>185</v>
      </c>
      <c r="B37">
        <v>25</v>
      </c>
      <c r="C37">
        <v>3348</v>
      </c>
      <c r="D37">
        <f>(F37-F36)*(1000/3600)+D36</f>
        <v>9196</v>
      </c>
      <c r="E37">
        <f t="shared" si="4"/>
        <v>468</v>
      </c>
      <c r="F37">
        <f t="shared" si="3"/>
        <v>26640</v>
      </c>
      <c r="G37">
        <f t="shared" si="5"/>
        <v>37.741935483870954</v>
      </c>
      <c r="H37">
        <f t="shared" si="2"/>
        <v>1.7567567567567569E-2</v>
      </c>
      <c r="I37">
        <f t="shared" si="0"/>
        <v>1.7567567567567568</v>
      </c>
      <c r="J37">
        <v>4080</v>
      </c>
      <c r="K37" s="2">
        <v>300000000000</v>
      </c>
      <c r="L37">
        <v>2667</v>
      </c>
      <c r="M37">
        <v>1414</v>
      </c>
      <c r="N37" s="2">
        <v>-60000000000000</v>
      </c>
      <c r="O37" s="2">
        <v>-10000000000000</v>
      </c>
      <c r="P37">
        <f t="shared" si="1"/>
        <v>1.4705882352941175</v>
      </c>
    </row>
    <row r="38" spans="1:16" x14ac:dyDescent="0.2">
      <c r="A38">
        <v>190</v>
      </c>
      <c r="B38">
        <v>25</v>
      </c>
      <c r="C38">
        <v>3596</v>
      </c>
      <c r="D38">
        <f>(F38-F37)*(1000/3600)+D37</f>
        <v>9396</v>
      </c>
      <c r="E38">
        <f t="shared" si="4"/>
        <v>248</v>
      </c>
      <c r="F38">
        <f t="shared" si="3"/>
        <v>27360</v>
      </c>
      <c r="G38">
        <f t="shared" si="5"/>
        <v>49.6</v>
      </c>
      <c r="H38">
        <f t="shared" si="2"/>
        <v>9.0643274853801168E-3</v>
      </c>
      <c r="I38">
        <f t="shared" si="0"/>
        <v>0.9064327485380117</v>
      </c>
      <c r="J38">
        <v>4080</v>
      </c>
      <c r="K38" s="2">
        <v>300000000000</v>
      </c>
      <c r="L38">
        <v>2667</v>
      </c>
      <c r="M38">
        <v>1414</v>
      </c>
      <c r="N38" s="2">
        <v>-60000000000000</v>
      </c>
      <c r="O38" s="2">
        <v>-10000000000000</v>
      </c>
      <c r="P38">
        <f t="shared" si="1"/>
        <v>1.4705882352941175</v>
      </c>
    </row>
    <row r="39" spans="1:16" x14ac:dyDescent="0.2">
      <c r="K39" s="2"/>
      <c r="N39" s="2"/>
      <c r="O39" s="2"/>
    </row>
    <row r="40" spans="1:16" x14ac:dyDescent="0.2">
      <c r="K40" s="2"/>
      <c r="N40" s="2"/>
      <c r="O40" s="2"/>
    </row>
    <row r="41" spans="1:16" x14ac:dyDescent="0.2">
      <c r="K41" s="2"/>
      <c r="N41" s="2"/>
      <c r="O41" s="2"/>
    </row>
    <row r="42" spans="1:16" x14ac:dyDescent="0.2">
      <c r="K42" s="2"/>
      <c r="N42" s="2"/>
      <c r="O42" s="2"/>
    </row>
    <row r="43" spans="1:16" x14ac:dyDescent="0.2">
      <c r="K43" s="2"/>
      <c r="N43" s="2"/>
      <c r="O43" s="2"/>
    </row>
    <row r="44" spans="1:16" x14ac:dyDescent="0.2">
      <c r="K44" s="2"/>
      <c r="N44" s="2"/>
      <c r="O44" s="2"/>
    </row>
    <row r="45" spans="1:16" x14ac:dyDescent="0.2">
      <c r="K45" s="2"/>
      <c r="N45" s="2"/>
      <c r="O45" s="2"/>
    </row>
    <row r="46" spans="1:16" x14ac:dyDescent="0.2">
      <c r="K46" s="2"/>
      <c r="N46" s="2"/>
      <c r="O46" s="2"/>
    </row>
    <row r="47" spans="1:16" x14ac:dyDescent="0.2">
      <c r="K47" s="2"/>
      <c r="N47" s="2"/>
      <c r="O47" s="2"/>
    </row>
    <row r="48" spans="1:16" x14ac:dyDescent="0.2">
      <c r="K48" s="2"/>
      <c r="N48" s="2"/>
      <c r="O4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8830-A241-FB43-9308-589AE07E41A6}">
  <dimension ref="A1:P23"/>
  <sheetViews>
    <sheetView topLeftCell="F1" workbookViewId="0">
      <selection activeCell="J31" sqref="J31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C2">
        <v>-5.6</v>
      </c>
      <c r="D2">
        <v>8760</v>
      </c>
      <c r="E2" cm="1">
        <f t="array" aca="1" ref="E2" ca="1">E2:G297</f>
        <v>0</v>
      </c>
      <c r="F2" cm="1">
        <f t="array" aca="1" ref="F2" ca="1">F2:H317</f>
        <v>0</v>
      </c>
      <c r="G2">
        <v>0</v>
      </c>
      <c r="H2">
        <v>0</v>
      </c>
      <c r="I2">
        <f>H2*100</f>
        <v>0</v>
      </c>
      <c r="J2">
        <v>3490</v>
      </c>
      <c r="K2" s="2">
        <v>200000000000</v>
      </c>
      <c r="L2">
        <v>2005</v>
      </c>
      <c r="M2">
        <v>1491</v>
      </c>
      <c r="N2" s="2">
        <v>-30000000000000</v>
      </c>
      <c r="O2" s="2">
        <v>500000000000</v>
      </c>
      <c r="P2">
        <f>(20/3496)*100</f>
        <v>0.57208237986270016</v>
      </c>
    </row>
    <row r="3" spans="1:16" x14ac:dyDescent="0.2">
      <c r="A3">
        <v>5</v>
      </c>
      <c r="B3">
        <v>40</v>
      </c>
      <c r="C3">
        <v>-4.8099999999999996</v>
      </c>
      <c r="D3">
        <v>8740</v>
      </c>
      <c r="E3">
        <f>C3-C2</f>
        <v>0.79</v>
      </c>
      <c r="F3">
        <f>3600/B3*A3</f>
        <v>450</v>
      </c>
      <c r="G3">
        <f>E3/A3</f>
        <v>0.158</v>
      </c>
      <c r="H3">
        <f>E3/(3600/B3*A3)</f>
        <v>1.7555555555555556E-3</v>
      </c>
      <c r="I3">
        <f t="shared" ref="I3:I23" si="0">H3*100</f>
        <v>0.17555555555555555</v>
      </c>
      <c r="J3">
        <v>3490</v>
      </c>
      <c r="K3" s="2">
        <v>200000000000</v>
      </c>
      <c r="L3">
        <v>2005</v>
      </c>
      <c r="M3">
        <v>1491</v>
      </c>
      <c r="N3" s="2">
        <v>-30000000000000</v>
      </c>
      <c r="O3" s="2">
        <v>500000000000</v>
      </c>
      <c r="P3">
        <f t="shared" ref="P3:P23" si="1">(20/3496)*100</f>
        <v>0.57208237986270016</v>
      </c>
    </row>
    <row r="4" spans="1:16" x14ac:dyDescent="0.2">
      <c r="A4">
        <v>9</v>
      </c>
      <c r="B4">
        <v>40</v>
      </c>
      <c r="C4">
        <v>-4.47</v>
      </c>
      <c r="D4">
        <v>8720</v>
      </c>
      <c r="E4">
        <f>C4-C3</f>
        <v>0.33999999999999986</v>
      </c>
      <c r="F4">
        <f>3600/B4*A4</f>
        <v>810</v>
      </c>
      <c r="G4">
        <f>E4/(A4-A3)</f>
        <v>8.4999999999999964E-2</v>
      </c>
      <c r="H4">
        <f t="shared" ref="H4:H23" si="2">E4/(3600/B4*A4)</f>
        <v>4.197530864197529E-4</v>
      </c>
      <c r="I4">
        <f t="shared" si="0"/>
        <v>4.1975308641975288E-2</v>
      </c>
      <c r="J4">
        <v>3490</v>
      </c>
      <c r="K4" s="2">
        <v>200000000000</v>
      </c>
      <c r="L4">
        <v>2005</v>
      </c>
      <c r="M4">
        <v>1491</v>
      </c>
      <c r="N4" s="2">
        <v>-30000000000000</v>
      </c>
      <c r="O4" s="2">
        <v>500000000000</v>
      </c>
      <c r="P4">
        <f t="shared" si="1"/>
        <v>0.57208237986270016</v>
      </c>
    </row>
    <row r="5" spans="1:16" x14ac:dyDescent="0.2">
      <c r="A5">
        <v>15</v>
      </c>
      <c r="B5">
        <v>25</v>
      </c>
      <c r="C5">
        <v>-4.1900000000000004</v>
      </c>
      <c r="D5">
        <v>8700</v>
      </c>
      <c r="E5">
        <f>C5-C4</f>
        <v>0.27999999999999936</v>
      </c>
      <c r="F5">
        <f t="shared" ref="F5:F23" si="3">3600/B5*A5</f>
        <v>2160</v>
      </c>
      <c r="G5">
        <f>E5/(A5-A4)</f>
        <v>4.6666666666666558E-2</v>
      </c>
      <c r="H5">
        <f t="shared" si="2"/>
        <v>1.2962962962962933E-4</v>
      </c>
      <c r="I5">
        <f t="shared" si="0"/>
        <v>1.2962962962962933E-2</v>
      </c>
      <c r="J5">
        <v>3490</v>
      </c>
      <c r="K5" s="2">
        <v>200000000000</v>
      </c>
      <c r="L5">
        <v>2005</v>
      </c>
      <c r="M5">
        <v>1491</v>
      </c>
      <c r="N5" s="2">
        <v>-30000000000000</v>
      </c>
      <c r="O5" s="2">
        <v>500000000000</v>
      </c>
      <c r="P5">
        <f t="shared" si="1"/>
        <v>0.57208237986270016</v>
      </c>
    </row>
    <row r="6" spans="1:16" x14ac:dyDescent="0.2">
      <c r="A6">
        <v>20</v>
      </c>
      <c r="B6">
        <v>25</v>
      </c>
      <c r="C6">
        <v>-3.76</v>
      </c>
      <c r="D6">
        <v>8680</v>
      </c>
      <c r="E6">
        <f t="shared" ref="E6:E23" si="4">C6-C5</f>
        <v>0.4300000000000006</v>
      </c>
      <c r="F6">
        <f t="shared" si="3"/>
        <v>2880</v>
      </c>
      <c r="G6">
        <f t="shared" ref="G6:G23" si="5">E6/(A6-A5)</f>
        <v>8.6000000000000118E-2</v>
      </c>
      <c r="H6">
        <f t="shared" si="2"/>
        <v>1.4930555555555576E-4</v>
      </c>
      <c r="I6">
        <f t="shared" si="0"/>
        <v>1.4930555555555577E-2</v>
      </c>
      <c r="J6">
        <v>3490</v>
      </c>
      <c r="K6" s="2">
        <v>200000000000</v>
      </c>
      <c r="L6">
        <v>2005</v>
      </c>
      <c r="M6">
        <v>1491</v>
      </c>
      <c r="N6" s="2">
        <v>-30000000000000</v>
      </c>
      <c r="O6" s="2">
        <v>500000000000</v>
      </c>
      <c r="P6">
        <f t="shared" si="1"/>
        <v>0.57208237986270016</v>
      </c>
    </row>
    <row r="7" spans="1:16" x14ac:dyDescent="0.2">
      <c r="A7">
        <v>25</v>
      </c>
      <c r="B7">
        <v>25</v>
      </c>
      <c r="C7">
        <v>-2.69</v>
      </c>
      <c r="D7">
        <v>8660</v>
      </c>
      <c r="E7">
        <f t="shared" si="4"/>
        <v>1.0699999999999998</v>
      </c>
      <c r="F7">
        <f t="shared" si="3"/>
        <v>3600</v>
      </c>
      <c r="G7">
        <f t="shared" si="5"/>
        <v>0.21399999999999997</v>
      </c>
      <c r="H7">
        <f t="shared" si="2"/>
        <v>2.9722222222222216E-4</v>
      </c>
      <c r="I7">
        <f t="shared" si="0"/>
        <v>2.9722222222222216E-2</v>
      </c>
      <c r="J7">
        <v>3490</v>
      </c>
      <c r="K7" s="2">
        <v>200000000000</v>
      </c>
      <c r="L7">
        <v>2005</v>
      </c>
      <c r="M7">
        <v>1491</v>
      </c>
      <c r="N7" s="2">
        <v>-30000000000000</v>
      </c>
      <c r="O7" s="2">
        <v>500000000000</v>
      </c>
      <c r="P7">
        <f t="shared" si="1"/>
        <v>0.57208237986270016</v>
      </c>
    </row>
    <row r="8" spans="1:16" x14ac:dyDescent="0.2">
      <c r="A8">
        <v>30</v>
      </c>
      <c r="B8">
        <v>25</v>
      </c>
      <c r="C8">
        <v>-1.83</v>
      </c>
      <c r="D8">
        <v>8640</v>
      </c>
      <c r="E8">
        <f t="shared" si="4"/>
        <v>0.85999999999999988</v>
      </c>
      <c r="F8">
        <f t="shared" si="3"/>
        <v>4320</v>
      </c>
      <c r="G8">
        <f t="shared" si="5"/>
        <v>0.17199999999999999</v>
      </c>
      <c r="H8">
        <f t="shared" si="2"/>
        <v>1.9907407407407404E-4</v>
      </c>
      <c r="I8">
        <f t="shared" si="0"/>
        <v>1.9907407407407405E-2</v>
      </c>
      <c r="J8">
        <v>3490</v>
      </c>
      <c r="K8" s="2">
        <v>200000000000</v>
      </c>
      <c r="L8">
        <v>2005</v>
      </c>
      <c r="M8">
        <v>1491</v>
      </c>
      <c r="N8" s="2">
        <v>-30000000000000</v>
      </c>
      <c r="O8" s="2">
        <v>500000000000</v>
      </c>
      <c r="P8">
        <f t="shared" si="1"/>
        <v>0.57208237986270016</v>
      </c>
    </row>
    <row r="9" spans="1:16" x14ac:dyDescent="0.2">
      <c r="A9">
        <v>35</v>
      </c>
      <c r="B9">
        <v>25</v>
      </c>
      <c r="C9">
        <v>0.22</v>
      </c>
      <c r="D9">
        <v>8620</v>
      </c>
      <c r="E9">
        <f t="shared" si="4"/>
        <v>2.0500000000000003</v>
      </c>
      <c r="F9">
        <f t="shared" si="3"/>
        <v>5040</v>
      </c>
      <c r="G9">
        <f t="shared" si="5"/>
        <v>0.41000000000000003</v>
      </c>
      <c r="H9">
        <f t="shared" si="2"/>
        <v>4.0674603174603179E-4</v>
      </c>
      <c r="I9">
        <f t="shared" si="0"/>
        <v>4.0674603174603176E-2</v>
      </c>
      <c r="J9">
        <v>3490</v>
      </c>
      <c r="K9" s="2">
        <v>200000000000</v>
      </c>
      <c r="L9">
        <v>2005</v>
      </c>
      <c r="M9">
        <v>1491</v>
      </c>
      <c r="N9" s="2">
        <v>-30000000000000</v>
      </c>
      <c r="O9" s="2">
        <v>500000000000</v>
      </c>
      <c r="P9">
        <f t="shared" si="1"/>
        <v>0.57208237986270016</v>
      </c>
    </row>
    <row r="10" spans="1:16" x14ac:dyDescent="0.2">
      <c r="A10">
        <v>40</v>
      </c>
      <c r="B10">
        <v>25</v>
      </c>
      <c r="C10">
        <v>3.69</v>
      </c>
      <c r="D10">
        <v>8600</v>
      </c>
      <c r="E10">
        <f t="shared" si="4"/>
        <v>3.4699999999999998</v>
      </c>
      <c r="F10">
        <f t="shared" si="3"/>
        <v>5760</v>
      </c>
      <c r="G10">
        <f t="shared" si="5"/>
        <v>0.69399999999999995</v>
      </c>
      <c r="H10">
        <f t="shared" si="2"/>
        <v>6.0243055555555549E-4</v>
      </c>
      <c r="I10">
        <f t="shared" si="0"/>
        <v>6.024305555555555E-2</v>
      </c>
      <c r="J10">
        <v>3490</v>
      </c>
      <c r="K10" s="2">
        <v>200000000000</v>
      </c>
      <c r="L10">
        <v>2005</v>
      </c>
      <c r="M10">
        <v>1491</v>
      </c>
      <c r="N10" s="2">
        <v>-30000000000000</v>
      </c>
      <c r="O10" s="2">
        <v>500000000000</v>
      </c>
      <c r="P10">
        <f t="shared" si="1"/>
        <v>0.57208237986270016</v>
      </c>
    </row>
    <row r="11" spans="1:16" x14ac:dyDescent="0.2">
      <c r="A11">
        <v>60</v>
      </c>
      <c r="B11">
        <v>25</v>
      </c>
      <c r="C11">
        <v>71</v>
      </c>
      <c r="D11">
        <v>8600</v>
      </c>
      <c r="E11">
        <f t="shared" si="4"/>
        <v>67.31</v>
      </c>
      <c r="F11">
        <f t="shared" si="3"/>
        <v>8640</v>
      </c>
      <c r="G11">
        <f t="shared" si="5"/>
        <v>3.3654999999999999</v>
      </c>
      <c r="H11">
        <f t="shared" si="2"/>
        <v>7.7905092592592592E-3</v>
      </c>
      <c r="I11">
        <f t="shared" si="0"/>
        <v>0.77905092592592595</v>
      </c>
      <c r="J11">
        <v>3490</v>
      </c>
      <c r="K11" s="2">
        <v>200000000000</v>
      </c>
      <c r="L11">
        <v>2005</v>
      </c>
      <c r="M11">
        <v>1491</v>
      </c>
      <c r="N11" s="2">
        <v>-30000000000000</v>
      </c>
      <c r="O11" s="2">
        <v>500000000000</v>
      </c>
      <c r="P11">
        <f t="shared" si="1"/>
        <v>0.57208237986270016</v>
      </c>
    </row>
    <row r="12" spans="1:16" x14ac:dyDescent="0.2">
      <c r="A12">
        <v>65</v>
      </c>
      <c r="B12">
        <v>25</v>
      </c>
      <c r="C12">
        <v>120</v>
      </c>
      <c r="D12">
        <v>8600</v>
      </c>
      <c r="E12">
        <f t="shared" si="4"/>
        <v>49</v>
      </c>
      <c r="F12">
        <f t="shared" si="3"/>
        <v>9360</v>
      </c>
      <c r="G12">
        <f t="shared" si="5"/>
        <v>9.8000000000000007</v>
      </c>
      <c r="H12">
        <f t="shared" si="2"/>
        <v>5.2350427350427347E-3</v>
      </c>
      <c r="I12">
        <f t="shared" si="0"/>
        <v>0.52350427350427342</v>
      </c>
      <c r="J12">
        <v>3490</v>
      </c>
      <c r="K12" s="2">
        <v>200000000000</v>
      </c>
      <c r="L12">
        <v>2005</v>
      </c>
      <c r="M12">
        <v>1491</v>
      </c>
      <c r="N12" s="2">
        <v>-30000000000000</v>
      </c>
      <c r="O12" s="2">
        <v>500000000000</v>
      </c>
      <c r="P12">
        <f t="shared" si="1"/>
        <v>0.57208237986270016</v>
      </c>
    </row>
    <row r="13" spans="1:16" x14ac:dyDescent="0.2">
      <c r="A13">
        <v>70</v>
      </c>
      <c r="B13">
        <v>25</v>
      </c>
      <c r="C13">
        <v>190</v>
      </c>
      <c r="D13">
        <v>8600</v>
      </c>
      <c r="E13">
        <f t="shared" si="4"/>
        <v>70</v>
      </c>
      <c r="F13">
        <f t="shared" si="3"/>
        <v>10080</v>
      </c>
      <c r="G13">
        <f t="shared" si="5"/>
        <v>14</v>
      </c>
      <c r="H13">
        <f t="shared" si="2"/>
        <v>6.9444444444444441E-3</v>
      </c>
      <c r="I13">
        <f t="shared" si="0"/>
        <v>0.69444444444444442</v>
      </c>
      <c r="J13">
        <v>3490</v>
      </c>
      <c r="K13" s="2">
        <v>200000000000</v>
      </c>
      <c r="L13">
        <v>2005</v>
      </c>
      <c r="M13">
        <v>1491</v>
      </c>
      <c r="N13" s="2">
        <v>-30000000000000</v>
      </c>
      <c r="O13" s="2">
        <v>500000000000</v>
      </c>
      <c r="P13">
        <f t="shared" si="1"/>
        <v>0.57208237986270016</v>
      </c>
    </row>
    <row r="14" spans="1:16" x14ac:dyDescent="0.2">
      <c r="A14">
        <v>75</v>
      </c>
      <c r="B14">
        <v>25</v>
      </c>
      <c r="C14">
        <v>290</v>
      </c>
      <c r="D14">
        <v>8700</v>
      </c>
      <c r="E14">
        <f t="shared" si="4"/>
        <v>100</v>
      </c>
      <c r="F14">
        <f t="shared" si="3"/>
        <v>10800</v>
      </c>
      <c r="G14">
        <f t="shared" si="5"/>
        <v>20</v>
      </c>
      <c r="H14">
        <f t="shared" si="2"/>
        <v>9.2592592592592587E-3</v>
      </c>
      <c r="I14">
        <f t="shared" si="0"/>
        <v>0.92592592592592582</v>
      </c>
      <c r="J14">
        <v>3490</v>
      </c>
      <c r="K14" s="2">
        <v>200000000000</v>
      </c>
      <c r="L14">
        <v>2005</v>
      </c>
      <c r="M14">
        <v>1491</v>
      </c>
      <c r="N14" s="2">
        <v>-30000000000000</v>
      </c>
      <c r="O14" s="2">
        <v>500000000000</v>
      </c>
      <c r="P14">
        <f t="shared" si="1"/>
        <v>0.57208237986270016</v>
      </c>
    </row>
    <row r="15" spans="1:16" x14ac:dyDescent="0.2">
      <c r="A15">
        <v>77.5</v>
      </c>
      <c r="B15">
        <v>25</v>
      </c>
      <c r="C15">
        <v>366.5</v>
      </c>
      <c r="D15">
        <v>8740</v>
      </c>
      <c r="E15">
        <f t="shared" si="4"/>
        <v>76.5</v>
      </c>
      <c r="F15">
        <f t="shared" si="3"/>
        <v>11160</v>
      </c>
      <c r="G15">
        <f t="shared" si="5"/>
        <v>30.6</v>
      </c>
      <c r="H15">
        <f t="shared" si="2"/>
        <v>6.8548387096774195E-3</v>
      </c>
      <c r="I15">
        <f t="shared" si="0"/>
        <v>0.68548387096774199</v>
      </c>
      <c r="J15">
        <v>3490</v>
      </c>
      <c r="K15" s="2">
        <v>200000000000</v>
      </c>
      <c r="L15">
        <v>2005</v>
      </c>
      <c r="M15">
        <v>1491</v>
      </c>
      <c r="N15" s="2">
        <v>-30000000000000</v>
      </c>
      <c r="O15" s="2">
        <v>500000000000</v>
      </c>
      <c r="P15">
        <f t="shared" si="1"/>
        <v>0.57208237986270016</v>
      </c>
    </row>
    <row r="16" spans="1:16" x14ac:dyDescent="0.2">
      <c r="A16">
        <v>80</v>
      </c>
      <c r="B16">
        <v>25</v>
      </c>
      <c r="C16">
        <v>440</v>
      </c>
      <c r="D16">
        <v>8740</v>
      </c>
      <c r="E16">
        <f t="shared" si="4"/>
        <v>73.5</v>
      </c>
      <c r="F16">
        <f t="shared" si="3"/>
        <v>11520</v>
      </c>
      <c r="G16">
        <f t="shared" si="5"/>
        <v>29.4</v>
      </c>
      <c r="H16">
        <f t="shared" si="2"/>
        <v>6.3802083333333332E-3</v>
      </c>
      <c r="I16">
        <f t="shared" si="0"/>
        <v>0.63802083333333337</v>
      </c>
      <c r="J16">
        <v>3490</v>
      </c>
      <c r="K16" s="2">
        <v>200000000000</v>
      </c>
      <c r="L16">
        <v>2005</v>
      </c>
      <c r="M16">
        <v>1491</v>
      </c>
      <c r="N16" s="2">
        <v>-30000000000000</v>
      </c>
      <c r="O16" s="2">
        <v>500000000000</v>
      </c>
      <c r="P16">
        <f t="shared" si="1"/>
        <v>0.57208237986270016</v>
      </c>
    </row>
    <row r="17" spans="1:16" x14ac:dyDescent="0.2">
      <c r="A17">
        <v>90</v>
      </c>
      <c r="B17">
        <v>25</v>
      </c>
      <c r="C17">
        <v>808</v>
      </c>
      <c r="D17">
        <v>8740</v>
      </c>
      <c r="E17">
        <f t="shared" si="4"/>
        <v>368</v>
      </c>
      <c r="F17">
        <f t="shared" si="3"/>
        <v>12960</v>
      </c>
      <c r="G17">
        <f t="shared" si="5"/>
        <v>36.799999999999997</v>
      </c>
      <c r="H17">
        <f t="shared" si="2"/>
        <v>2.8395061728395062E-2</v>
      </c>
      <c r="I17">
        <f t="shared" si="0"/>
        <v>2.8395061728395063</v>
      </c>
      <c r="J17">
        <v>3490</v>
      </c>
      <c r="K17" s="2">
        <v>200000000000</v>
      </c>
      <c r="L17">
        <v>2005</v>
      </c>
      <c r="M17">
        <v>1491</v>
      </c>
      <c r="N17" s="2">
        <v>-30000000000000</v>
      </c>
      <c r="O17" s="2">
        <v>500000000000</v>
      </c>
      <c r="P17">
        <f t="shared" si="1"/>
        <v>0.57208237986270016</v>
      </c>
    </row>
    <row r="18" spans="1:16" x14ac:dyDescent="0.2">
      <c r="A18">
        <v>116</v>
      </c>
      <c r="B18">
        <v>25</v>
      </c>
      <c r="C18">
        <v>1847</v>
      </c>
      <c r="D18">
        <v>8740</v>
      </c>
      <c r="E18">
        <f t="shared" si="4"/>
        <v>1039</v>
      </c>
      <c r="F18">
        <f t="shared" si="3"/>
        <v>16704</v>
      </c>
      <c r="G18">
        <f t="shared" si="5"/>
        <v>39.96153846153846</v>
      </c>
      <c r="H18">
        <f t="shared" si="2"/>
        <v>6.2200670498084289E-2</v>
      </c>
      <c r="I18">
        <f t="shared" si="0"/>
        <v>6.2200670498084287</v>
      </c>
      <c r="J18">
        <v>3490</v>
      </c>
      <c r="K18" s="2">
        <v>200000000000</v>
      </c>
      <c r="L18">
        <v>2005</v>
      </c>
      <c r="M18">
        <v>1491</v>
      </c>
      <c r="N18" s="2">
        <v>-30000000000000</v>
      </c>
      <c r="O18" s="2">
        <v>500000000000</v>
      </c>
      <c r="P18">
        <f t="shared" si="1"/>
        <v>0.57208237986270016</v>
      </c>
    </row>
    <row r="19" spans="1:16" x14ac:dyDescent="0.2">
      <c r="A19">
        <v>125</v>
      </c>
      <c r="B19">
        <v>25</v>
      </c>
      <c r="C19">
        <v>2187</v>
      </c>
      <c r="D19">
        <v>8740</v>
      </c>
      <c r="E19">
        <f t="shared" si="4"/>
        <v>340</v>
      </c>
      <c r="F19">
        <f t="shared" si="3"/>
        <v>18000</v>
      </c>
      <c r="G19">
        <f t="shared" si="5"/>
        <v>37.777777777777779</v>
      </c>
      <c r="H19">
        <f t="shared" si="2"/>
        <v>1.8888888888888889E-2</v>
      </c>
      <c r="I19">
        <f t="shared" si="0"/>
        <v>1.8888888888888888</v>
      </c>
      <c r="J19">
        <v>3490</v>
      </c>
      <c r="K19" s="2">
        <v>200000000000</v>
      </c>
      <c r="L19">
        <v>2005</v>
      </c>
      <c r="M19">
        <v>1491</v>
      </c>
      <c r="N19" s="2">
        <v>-30000000000000</v>
      </c>
      <c r="O19" s="2">
        <v>500000000000</v>
      </c>
      <c r="P19">
        <f t="shared" si="1"/>
        <v>0.57208237986270016</v>
      </c>
    </row>
    <row r="20" spans="1:16" x14ac:dyDescent="0.2">
      <c r="A20">
        <v>127.8</v>
      </c>
      <c r="B20">
        <v>25</v>
      </c>
      <c r="C20">
        <v>2300</v>
      </c>
      <c r="D20">
        <v>8740</v>
      </c>
      <c r="E20">
        <f t="shared" si="4"/>
        <v>113</v>
      </c>
      <c r="F20">
        <f t="shared" si="3"/>
        <v>18403.2</v>
      </c>
      <c r="G20">
        <f t="shared" si="5"/>
        <v>40.357142857142897</v>
      </c>
      <c r="H20">
        <f t="shared" si="2"/>
        <v>6.1402364806120669E-3</v>
      </c>
      <c r="I20">
        <f t="shared" si="0"/>
        <v>0.61402364806120668</v>
      </c>
      <c r="J20">
        <v>3490</v>
      </c>
      <c r="K20" s="2">
        <v>200000000000</v>
      </c>
      <c r="L20">
        <v>2005</v>
      </c>
      <c r="M20">
        <v>1491</v>
      </c>
      <c r="N20" s="2">
        <v>-30000000000000</v>
      </c>
      <c r="O20" s="2">
        <v>500000000000</v>
      </c>
      <c r="P20">
        <f t="shared" si="1"/>
        <v>0.57208237986270016</v>
      </c>
    </row>
    <row r="21" spans="1:16" x14ac:dyDescent="0.2">
      <c r="A21">
        <v>139</v>
      </c>
      <c r="B21">
        <v>25</v>
      </c>
      <c r="C21">
        <v>2761</v>
      </c>
      <c r="D21">
        <v>8740</v>
      </c>
      <c r="E21">
        <f t="shared" si="4"/>
        <v>461</v>
      </c>
      <c r="F21">
        <f t="shared" si="3"/>
        <v>20016</v>
      </c>
      <c r="G21">
        <f t="shared" si="5"/>
        <v>41.160714285714278</v>
      </c>
      <c r="H21">
        <f t="shared" si="2"/>
        <v>2.3031574740207835E-2</v>
      </c>
      <c r="I21">
        <f t="shared" si="0"/>
        <v>2.3031574740207836</v>
      </c>
      <c r="J21">
        <v>3490</v>
      </c>
      <c r="K21" s="2">
        <v>200000000000</v>
      </c>
      <c r="L21">
        <v>2005</v>
      </c>
      <c r="M21">
        <v>1491</v>
      </c>
      <c r="N21" s="2">
        <v>-30000000000000</v>
      </c>
      <c r="O21" s="2">
        <v>500000000000</v>
      </c>
      <c r="P21">
        <f t="shared" si="1"/>
        <v>0.57208237986270016</v>
      </c>
    </row>
    <row r="22" spans="1:16" x14ac:dyDescent="0.2">
      <c r="A22">
        <v>150</v>
      </c>
      <c r="B22">
        <v>25</v>
      </c>
      <c r="C22">
        <v>3367</v>
      </c>
      <c r="D22">
        <f>(F22-F21)*(1000/3600)+D21</f>
        <v>9180</v>
      </c>
      <c r="E22">
        <f t="shared" si="4"/>
        <v>606</v>
      </c>
      <c r="F22">
        <f t="shared" si="3"/>
        <v>21600</v>
      </c>
      <c r="G22">
        <f t="shared" si="5"/>
        <v>55.090909090909093</v>
      </c>
      <c r="H22">
        <f t="shared" si="2"/>
        <v>2.8055555555555556E-2</v>
      </c>
      <c r="I22">
        <f t="shared" si="0"/>
        <v>2.8055555555555554</v>
      </c>
      <c r="J22">
        <v>3490</v>
      </c>
      <c r="K22" s="2">
        <v>200000000000</v>
      </c>
      <c r="L22">
        <v>2005</v>
      </c>
      <c r="M22">
        <v>1491</v>
      </c>
      <c r="N22" s="2">
        <v>-30000000000000</v>
      </c>
      <c r="O22" s="2">
        <v>500000000000</v>
      </c>
      <c r="P22">
        <f t="shared" si="1"/>
        <v>0.57208237986270016</v>
      </c>
    </row>
    <row r="23" spans="1:16" x14ac:dyDescent="0.2">
      <c r="A23">
        <v>153.80000000000001</v>
      </c>
      <c r="B23">
        <v>25</v>
      </c>
      <c r="C23">
        <v>3452</v>
      </c>
      <c r="D23">
        <f>(F23-F22)*(1000/3600)+D22</f>
        <v>9332</v>
      </c>
      <c r="E23">
        <f t="shared" si="4"/>
        <v>85</v>
      </c>
      <c r="F23">
        <f t="shared" si="3"/>
        <v>22147.200000000001</v>
      </c>
      <c r="G23">
        <f t="shared" si="5"/>
        <v>22.368421052631511</v>
      </c>
      <c r="H23">
        <f t="shared" si="2"/>
        <v>3.8379569426383467E-3</v>
      </c>
      <c r="I23">
        <f t="shared" si="0"/>
        <v>0.3837956942638347</v>
      </c>
      <c r="J23">
        <v>3490</v>
      </c>
      <c r="K23" s="2">
        <v>200000000000</v>
      </c>
      <c r="L23">
        <v>2005</v>
      </c>
      <c r="M23">
        <v>1491</v>
      </c>
      <c r="N23" s="2">
        <v>-30000000000000</v>
      </c>
      <c r="O23" s="2">
        <v>500000000000</v>
      </c>
      <c r="P23">
        <f t="shared" si="1"/>
        <v>0.57208237986270016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D455-5B49-1A41-8499-0684143E8B8B}">
  <dimension ref="A1:P37"/>
  <sheetViews>
    <sheetView topLeftCell="M1" workbookViewId="0">
      <selection activeCell="L49" sqref="L49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C2">
        <v>-4.67</v>
      </c>
      <c r="D2">
        <v>8780</v>
      </c>
      <c r="E2" cm="1">
        <f t="array" aca="1" ref="E2" ca="1">E2:G297</f>
        <v>0</v>
      </c>
      <c r="F2" cm="1">
        <f t="array" aca="1" ref="F2" ca="1">F2:H317</f>
        <v>0</v>
      </c>
      <c r="G2">
        <v>0</v>
      </c>
      <c r="H2">
        <v>0</v>
      </c>
      <c r="I2">
        <f>H2*100</f>
        <v>0</v>
      </c>
      <c r="J2">
        <v>3985</v>
      </c>
      <c r="K2" s="2">
        <v>-500000000000</v>
      </c>
      <c r="L2">
        <v>3310</v>
      </c>
      <c r="M2">
        <v>674</v>
      </c>
      <c r="N2" s="2">
        <v>-34100000000000</v>
      </c>
      <c r="O2" s="2">
        <v>500000000000</v>
      </c>
      <c r="P2">
        <f>(120/3984)*100</f>
        <v>3.0120481927710845</v>
      </c>
    </row>
    <row r="3" spans="1:16" x14ac:dyDescent="0.2">
      <c r="A3">
        <v>4</v>
      </c>
      <c r="B3">
        <v>40</v>
      </c>
      <c r="C3">
        <v>-5.0999999999999996</v>
      </c>
      <c r="D3">
        <v>8780</v>
      </c>
      <c r="E3">
        <f>C3-C2</f>
        <v>-0.42999999999999972</v>
      </c>
      <c r="F3">
        <f>3600/B3*A3</f>
        <v>360</v>
      </c>
      <c r="G3">
        <f>E3/A3</f>
        <v>-0.10749999999999993</v>
      </c>
      <c r="H3">
        <f>E3/(3600/B3*A3)</f>
        <v>-1.1944444444444437E-3</v>
      </c>
      <c r="I3">
        <f t="shared" ref="I3:I37" si="0">H3*100</f>
        <v>-0.11944444444444437</v>
      </c>
      <c r="J3">
        <v>3985</v>
      </c>
      <c r="K3" s="2">
        <v>-500000000000</v>
      </c>
      <c r="L3">
        <v>3310</v>
      </c>
      <c r="M3">
        <v>674</v>
      </c>
      <c r="N3" s="2">
        <v>-34100000000000</v>
      </c>
      <c r="O3" s="2">
        <v>500000000000</v>
      </c>
      <c r="P3">
        <f t="shared" ref="P3:P37" si="1">(120/3984)*100</f>
        <v>3.0120481927710845</v>
      </c>
    </row>
    <row r="4" spans="1:16" x14ac:dyDescent="0.2">
      <c r="A4">
        <v>6.11</v>
      </c>
      <c r="B4">
        <v>40</v>
      </c>
      <c r="C4">
        <v>-5.14</v>
      </c>
      <c r="D4">
        <v>8760</v>
      </c>
      <c r="E4">
        <f>C4-C3</f>
        <v>-4.0000000000000036E-2</v>
      </c>
      <c r="F4">
        <f>3600/B4*A4</f>
        <v>549.9</v>
      </c>
      <c r="G4">
        <f>E4/(A4-A3)</f>
        <v>-1.8957345971563996E-2</v>
      </c>
      <c r="H4">
        <f t="shared" ref="H4:H37" si="2">E4/(3600/B4*A4)</f>
        <v>-7.2740498272413237E-5</v>
      </c>
      <c r="I4">
        <f t="shared" si="0"/>
        <v>-7.2740498272413235E-3</v>
      </c>
      <c r="J4">
        <v>3985</v>
      </c>
      <c r="K4" s="2">
        <v>-500000000000</v>
      </c>
      <c r="L4">
        <v>3310</v>
      </c>
      <c r="M4">
        <v>674</v>
      </c>
      <c r="N4" s="2">
        <v>-34100000000000</v>
      </c>
      <c r="O4" s="2">
        <v>500000000000</v>
      </c>
      <c r="P4">
        <f t="shared" si="1"/>
        <v>3.0120481927710845</v>
      </c>
    </row>
    <row r="5" spans="1:16" x14ac:dyDescent="0.2">
      <c r="A5">
        <v>10</v>
      </c>
      <c r="B5">
        <v>40</v>
      </c>
      <c r="C5">
        <v>-4.43</v>
      </c>
      <c r="D5">
        <v>8760</v>
      </c>
      <c r="E5">
        <f>C5-C4</f>
        <v>0.71</v>
      </c>
      <c r="F5">
        <f t="shared" ref="F5:F37" si="3">3600/B5*A5</f>
        <v>900</v>
      </c>
      <c r="G5">
        <f>E5/(A5-A4)</f>
        <v>0.18251928020565553</v>
      </c>
      <c r="H5">
        <f t="shared" si="2"/>
        <v>7.8888888888888889E-4</v>
      </c>
      <c r="I5">
        <f t="shared" si="0"/>
        <v>7.8888888888888883E-2</v>
      </c>
      <c r="J5">
        <v>3985</v>
      </c>
      <c r="K5" s="2">
        <v>-500000000000</v>
      </c>
      <c r="L5">
        <v>3310</v>
      </c>
      <c r="M5">
        <v>674</v>
      </c>
      <c r="N5" s="2">
        <v>-34100000000000</v>
      </c>
      <c r="O5" s="2">
        <v>500000000000</v>
      </c>
      <c r="P5">
        <f t="shared" si="1"/>
        <v>3.0120481927710845</v>
      </c>
    </row>
    <row r="6" spans="1:16" x14ac:dyDescent="0.2">
      <c r="A6">
        <v>15</v>
      </c>
      <c r="B6">
        <v>40</v>
      </c>
      <c r="C6">
        <v>-4</v>
      </c>
      <c r="D6">
        <v>8740</v>
      </c>
      <c r="E6">
        <f t="shared" ref="E6:E37" si="4">C6-C5</f>
        <v>0.42999999999999972</v>
      </c>
      <c r="F6">
        <f t="shared" si="3"/>
        <v>1350</v>
      </c>
      <c r="G6">
        <f t="shared" ref="G6:G37" si="5">E6/(A6-A5)</f>
        <v>8.5999999999999938E-2</v>
      </c>
      <c r="H6">
        <f t="shared" si="2"/>
        <v>3.1851851851851833E-4</v>
      </c>
      <c r="I6">
        <f t="shared" si="0"/>
        <v>3.1851851851851833E-2</v>
      </c>
      <c r="J6">
        <v>3985</v>
      </c>
      <c r="K6" s="2">
        <v>-500000000000</v>
      </c>
      <c r="L6">
        <v>3310</v>
      </c>
      <c r="M6">
        <v>674</v>
      </c>
      <c r="N6" s="2">
        <v>-34100000000000</v>
      </c>
      <c r="O6" s="2">
        <v>500000000000</v>
      </c>
      <c r="P6">
        <f t="shared" si="1"/>
        <v>3.0120481927710845</v>
      </c>
    </row>
    <row r="7" spans="1:16" x14ac:dyDescent="0.2">
      <c r="A7">
        <v>20</v>
      </c>
      <c r="B7">
        <v>25</v>
      </c>
      <c r="C7">
        <v>-3.48</v>
      </c>
      <c r="D7">
        <v>8720</v>
      </c>
      <c r="E7">
        <f t="shared" si="4"/>
        <v>0.52</v>
      </c>
      <c r="F7">
        <f t="shared" si="3"/>
        <v>2880</v>
      </c>
      <c r="G7">
        <f t="shared" si="5"/>
        <v>0.10400000000000001</v>
      </c>
      <c r="H7">
        <f t="shared" si="2"/>
        <v>1.8055555555555557E-4</v>
      </c>
      <c r="I7">
        <f t="shared" si="0"/>
        <v>1.8055555555555557E-2</v>
      </c>
      <c r="J7">
        <v>3985</v>
      </c>
      <c r="K7" s="2">
        <v>-500000000000</v>
      </c>
      <c r="L7">
        <v>3310</v>
      </c>
      <c r="M7">
        <v>674</v>
      </c>
      <c r="N7" s="2">
        <v>-34100000000000</v>
      </c>
      <c r="O7" s="2">
        <v>500000000000</v>
      </c>
      <c r="P7">
        <f t="shared" si="1"/>
        <v>3.0120481927710845</v>
      </c>
    </row>
    <row r="8" spans="1:16" x14ac:dyDescent="0.2">
      <c r="A8">
        <v>25</v>
      </c>
      <c r="B8">
        <v>25</v>
      </c>
      <c r="C8">
        <v>-2.64</v>
      </c>
      <c r="D8">
        <v>8700</v>
      </c>
      <c r="E8">
        <f t="shared" si="4"/>
        <v>0.83999999999999986</v>
      </c>
      <c r="F8">
        <f t="shared" si="3"/>
        <v>3600</v>
      </c>
      <c r="G8">
        <f t="shared" si="5"/>
        <v>0.16799999999999998</v>
      </c>
      <c r="H8">
        <f t="shared" si="2"/>
        <v>2.333333333333333E-4</v>
      </c>
      <c r="I8">
        <f t="shared" si="0"/>
        <v>2.3333333333333331E-2</v>
      </c>
      <c r="J8">
        <v>3985</v>
      </c>
      <c r="K8" s="2">
        <v>-500000000000</v>
      </c>
      <c r="L8">
        <v>3310</v>
      </c>
      <c r="M8">
        <v>674</v>
      </c>
      <c r="N8" s="2">
        <v>-34100000000000</v>
      </c>
      <c r="O8" s="2">
        <v>500000000000</v>
      </c>
      <c r="P8">
        <f t="shared" si="1"/>
        <v>3.0120481927710845</v>
      </c>
    </row>
    <row r="9" spans="1:16" x14ac:dyDescent="0.2">
      <c r="A9">
        <v>30</v>
      </c>
      <c r="B9">
        <v>25</v>
      </c>
      <c r="C9">
        <v>-1.52</v>
      </c>
      <c r="D9">
        <v>8680</v>
      </c>
      <c r="E9">
        <f t="shared" si="4"/>
        <v>1.1200000000000001</v>
      </c>
      <c r="F9">
        <f t="shared" si="3"/>
        <v>4320</v>
      </c>
      <c r="G9">
        <f t="shared" si="5"/>
        <v>0.22400000000000003</v>
      </c>
      <c r="H9">
        <f t="shared" si="2"/>
        <v>2.5925925925925926E-4</v>
      </c>
      <c r="I9">
        <f t="shared" si="0"/>
        <v>2.5925925925925925E-2</v>
      </c>
      <c r="J9">
        <v>3985</v>
      </c>
      <c r="K9" s="2">
        <v>-500000000000</v>
      </c>
      <c r="L9">
        <v>3310</v>
      </c>
      <c r="M9">
        <v>674</v>
      </c>
      <c r="N9" s="2">
        <v>-34100000000000</v>
      </c>
      <c r="O9" s="2">
        <v>500000000000</v>
      </c>
      <c r="P9">
        <f t="shared" si="1"/>
        <v>3.0120481927710845</v>
      </c>
    </row>
    <row r="10" spans="1:16" x14ac:dyDescent="0.2">
      <c r="A10">
        <v>35</v>
      </c>
      <c r="B10">
        <v>25</v>
      </c>
      <c r="C10">
        <v>0.1</v>
      </c>
      <c r="D10">
        <v>8660</v>
      </c>
      <c r="E10">
        <f t="shared" si="4"/>
        <v>1.62</v>
      </c>
      <c r="F10">
        <f t="shared" si="3"/>
        <v>5040</v>
      </c>
      <c r="G10">
        <f t="shared" si="5"/>
        <v>0.32400000000000001</v>
      </c>
      <c r="H10">
        <f t="shared" si="2"/>
        <v>3.2142857142857147E-4</v>
      </c>
      <c r="I10">
        <f t="shared" si="0"/>
        <v>3.2142857142857147E-2</v>
      </c>
      <c r="J10">
        <v>3985</v>
      </c>
      <c r="K10" s="2">
        <v>-500000000000</v>
      </c>
      <c r="L10">
        <v>3310</v>
      </c>
      <c r="M10">
        <v>674</v>
      </c>
      <c r="N10" s="2">
        <v>-34100000000000</v>
      </c>
      <c r="O10" s="2">
        <v>500000000000</v>
      </c>
      <c r="P10">
        <f t="shared" si="1"/>
        <v>3.0120481927710845</v>
      </c>
    </row>
    <row r="11" spans="1:16" x14ac:dyDescent="0.2">
      <c r="A11">
        <v>40.299999999999997</v>
      </c>
      <c r="B11">
        <v>25</v>
      </c>
      <c r="C11">
        <v>2.31</v>
      </c>
      <c r="D11">
        <v>8640</v>
      </c>
      <c r="E11">
        <f t="shared" si="4"/>
        <v>2.21</v>
      </c>
      <c r="F11">
        <f t="shared" si="3"/>
        <v>5803.2</v>
      </c>
      <c r="G11">
        <f t="shared" si="5"/>
        <v>0.41698113207547194</v>
      </c>
      <c r="H11">
        <f t="shared" si="2"/>
        <v>3.8082437275985666E-4</v>
      </c>
      <c r="I11">
        <f t="shared" si="0"/>
        <v>3.8082437275985669E-2</v>
      </c>
      <c r="J11">
        <v>3985</v>
      </c>
      <c r="K11" s="2">
        <v>-500000000000</v>
      </c>
      <c r="L11">
        <v>3310</v>
      </c>
      <c r="M11">
        <v>674</v>
      </c>
      <c r="N11" s="2">
        <v>-34100000000000</v>
      </c>
      <c r="O11" s="2">
        <v>500000000000</v>
      </c>
      <c r="P11">
        <f t="shared" si="1"/>
        <v>3.0120481927710845</v>
      </c>
    </row>
    <row r="12" spans="1:16" x14ac:dyDescent="0.2">
      <c r="A12">
        <v>45</v>
      </c>
      <c r="B12">
        <v>25</v>
      </c>
      <c r="C12">
        <v>5.28</v>
      </c>
      <c r="D12">
        <v>8620</v>
      </c>
      <c r="E12">
        <f t="shared" si="4"/>
        <v>2.97</v>
      </c>
      <c r="F12">
        <f t="shared" si="3"/>
        <v>6480</v>
      </c>
      <c r="G12">
        <f t="shared" si="5"/>
        <v>0.63191489361702091</v>
      </c>
      <c r="H12">
        <f t="shared" si="2"/>
        <v>4.5833333333333338E-4</v>
      </c>
      <c r="I12">
        <f t="shared" si="0"/>
        <v>4.5833333333333337E-2</v>
      </c>
      <c r="J12">
        <v>3985</v>
      </c>
      <c r="K12" s="2">
        <v>-500000000000</v>
      </c>
      <c r="L12">
        <v>3310</v>
      </c>
      <c r="M12">
        <v>674</v>
      </c>
      <c r="N12" s="2">
        <v>-34100000000000</v>
      </c>
      <c r="O12" s="2">
        <v>500000000000</v>
      </c>
      <c r="P12">
        <f t="shared" si="1"/>
        <v>3.0120481927710845</v>
      </c>
    </row>
    <row r="13" spans="1:16" x14ac:dyDescent="0.2">
      <c r="A13">
        <v>50</v>
      </c>
      <c r="B13">
        <v>25</v>
      </c>
      <c r="C13">
        <v>10.67</v>
      </c>
      <c r="D13">
        <v>8600</v>
      </c>
      <c r="E13">
        <f t="shared" si="4"/>
        <v>5.39</v>
      </c>
      <c r="F13">
        <f t="shared" si="3"/>
        <v>7200</v>
      </c>
      <c r="G13">
        <f t="shared" si="5"/>
        <v>1.0779999999999998</v>
      </c>
      <c r="H13">
        <f t="shared" si="2"/>
        <v>7.4861111111111103E-4</v>
      </c>
      <c r="I13">
        <f t="shared" si="0"/>
        <v>7.4861111111111101E-2</v>
      </c>
      <c r="J13">
        <v>3985</v>
      </c>
      <c r="K13" s="2">
        <v>-500000000000</v>
      </c>
      <c r="L13">
        <v>3310</v>
      </c>
      <c r="M13">
        <v>674</v>
      </c>
      <c r="N13" s="2">
        <v>-34100000000000</v>
      </c>
      <c r="O13" s="2">
        <v>500000000000</v>
      </c>
      <c r="P13">
        <f t="shared" si="1"/>
        <v>3.0120481927710845</v>
      </c>
    </row>
    <row r="14" spans="1:16" x14ac:dyDescent="0.2">
      <c r="A14">
        <v>55</v>
      </c>
      <c r="B14">
        <v>25</v>
      </c>
      <c r="C14">
        <v>19.239999999999998</v>
      </c>
      <c r="D14">
        <v>8580</v>
      </c>
      <c r="E14">
        <f t="shared" si="4"/>
        <v>8.5699999999999985</v>
      </c>
      <c r="F14">
        <f t="shared" si="3"/>
        <v>7920</v>
      </c>
      <c r="G14">
        <f t="shared" si="5"/>
        <v>1.7139999999999997</v>
      </c>
      <c r="H14">
        <f t="shared" si="2"/>
        <v>1.082070707070707E-3</v>
      </c>
      <c r="I14">
        <f t="shared" si="0"/>
        <v>0.1082070707070707</v>
      </c>
      <c r="J14">
        <v>3985</v>
      </c>
      <c r="K14" s="2">
        <v>-500000000000</v>
      </c>
      <c r="L14">
        <v>3310</v>
      </c>
      <c r="M14">
        <v>674</v>
      </c>
      <c r="N14" s="2">
        <v>-34100000000000</v>
      </c>
      <c r="O14" s="2">
        <v>500000000000</v>
      </c>
      <c r="P14">
        <f t="shared" si="1"/>
        <v>3.0120481927710845</v>
      </c>
    </row>
    <row r="15" spans="1:16" x14ac:dyDescent="0.2">
      <c r="A15">
        <v>60</v>
      </c>
      <c r="B15">
        <v>25</v>
      </c>
      <c r="C15">
        <v>36</v>
      </c>
      <c r="D15">
        <v>8580</v>
      </c>
      <c r="E15">
        <f t="shared" si="4"/>
        <v>16.760000000000002</v>
      </c>
      <c r="F15">
        <f t="shared" si="3"/>
        <v>8640</v>
      </c>
      <c r="G15">
        <f t="shared" si="5"/>
        <v>3.3520000000000003</v>
      </c>
      <c r="H15">
        <f t="shared" si="2"/>
        <v>1.939814814814815E-3</v>
      </c>
      <c r="I15">
        <f t="shared" si="0"/>
        <v>0.1939814814814815</v>
      </c>
      <c r="J15">
        <v>3985</v>
      </c>
      <c r="K15" s="2">
        <v>-500000000000</v>
      </c>
      <c r="L15">
        <v>3310</v>
      </c>
      <c r="M15">
        <v>674</v>
      </c>
      <c r="N15" s="2">
        <v>-34100000000000</v>
      </c>
      <c r="O15" s="2">
        <v>500000000000</v>
      </c>
      <c r="P15">
        <f t="shared" si="1"/>
        <v>3.0120481927710845</v>
      </c>
    </row>
    <row r="16" spans="1:16" x14ac:dyDescent="0.2">
      <c r="A16">
        <v>65</v>
      </c>
      <c r="B16">
        <v>25</v>
      </c>
      <c r="C16">
        <v>57</v>
      </c>
      <c r="D16">
        <v>8580</v>
      </c>
      <c r="E16">
        <f t="shared" si="4"/>
        <v>21</v>
      </c>
      <c r="F16">
        <f t="shared" si="3"/>
        <v>9360</v>
      </c>
      <c r="G16">
        <f t="shared" si="5"/>
        <v>4.2</v>
      </c>
      <c r="H16">
        <f t="shared" si="2"/>
        <v>2.2435897435897434E-3</v>
      </c>
      <c r="I16">
        <f t="shared" si="0"/>
        <v>0.22435897435897434</v>
      </c>
      <c r="J16">
        <v>3985</v>
      </c>
      <c r="K16" s="2">
        <v>-500000000000</v>
      </c>
      <c r="L16">
        <v>3310</v>
      </c>
      <c r="M16">
        <v>674</v>
      </c>
      <c r="N16" s="2">
        <v>-34100000000000</v>
      </c>
      <c r="O16" s="2">
        <v>500000000000</v>
      </c>
      <c r="P16">
        <f t="shared" si="1"/>
        <v>3.0120481927710845</v>
      </c>
    </row>
    <row r="17" spans="1:16" x14ac:dyDescent="0.2">
      <c r="A17">
        <v>70</v>
      </c>
      <c r="B17">
        <v>25</v>
      </c>
      <c r="C17">
        <v>97</v>
      </c>
      <c r="D17">
        <v>8580</v>
      </c>
      <c r="E17">
        <f t="shared" si="4"/>
        <v>40</v>
      </c>
      <c r="F17">
        <f t="shared" si="3"/>
        <v>10080</v>
      </c>
      <c r="G17">
        <f t="shared" si="5"/>
        <v>8</v>
      </c>
      <c r="H17">
        <f t="shared" si="2"/>
        <v>3.968253968253968E-3</v>
      </c>
      <c r="I17">
        <f t="shared" si="0"/>
        <v>0.3968253968253968</v>
      </c>
      <c r="J17">
        <v>3985</v>
      </c>
      <c r="K17" s="2">
        <v>-500000000000</v>
      </c>
      <c r="L17">
        <v>3310</v>
      </c>
      <c r="M17">
        <v>674</v>
      </c>
      <c r="N17" s="2">
        <v>-34100000000000</v>
      </c>
      <c r="O17" s="2">
        <v>500000000000</v>
      </c>
      <c r="P17">
        <f t="shared" si="1"/>
        <v>3.0120481927710845</v>
      </c>
    </row>
    <row r="18" spans="1:16" x14ac:dyDescent="0.2">
      <c r="A18">
        <v>75</v>
      </c>
      <c r="B18">
        <v>25</v>
      </c>
      <c r="C18">
        <v>150</v>
      </c>
      <c r="D18">
        <v>8580</v>
      </c>
      <c r="E18">
        <f t="shared" si="4"/>
        <v>53</v>
      </c>
      <c r="F18">
        <f t="shared" si="3"/>
        <v>10800</v>
      </c>
      <c r="G18">
        <f t="shared" si="5"/>
        <v>10.6</v>
      </c>
      <c r="H18">
        <f t="shared" si="2"/>
        <v>4.9074074074074072E-3</v>
      </c>
      <c r="I18">
        <f t="shared" si="0"/>
        <v>0.4907407407407407</v>
      </c>
      <c r="J18">
        <v>3985</v>
      </c>
      <c r="K18" s="2">
        <v>-500000000000</v>
      </c>
      <c r="L18">
        <v>3310</v>
      </c>
      <c r="M18">
        <v>674</v>
      </c>
      <c r="N18" s="2">
        <v>-34100000000000</v>
      </c>
      <c r="O18" s="2">
        <v>500000000000</v>
      </c>
      <c r="P18">
        <f t="shared" si="1"/>
        <v>3.0120481927710845</v>
      </c>
    </row>
    <row r="19" spans="1:16" x14ac:dyDescent="0.2">
      <c r="A19">
        <v>80</v>
      </c>
      <c r="B19">
        <v>25</v>
      </c>
      <c r="C19">
        <v>260</v>
      </c>
      <c r="D19">
        <v>8680</v>
      </c>
      <c r="E19">
        <f t="shared" si="4"/>
        <v>110</v>
      </c>
      <c r="F19">
        <f t="shared" si="3"/>
        <v>11520</v>
      </c>
      <c r="G19">
        <f t="shared" si="5"/>
        <v>22</v>
      </c>
      <c r="H19">
        <f t="shared" si="2"/>
        <v>9.5486111111111119E-3</v>
      </c>
      <c r="I19">
        <f t="shared" si="0"/>
        <v>0.95486111111111116</v>
      </c>
      <c r="J19">
        <v>3985</v>
      </c>
      <c r="K19" s="2">
        <v>-500000000000</v>
      </c>
      <c r="L19">
        <v>3310</v>
      </c>
      <c r="M19">
        <v>674</v>
      </c>
      <c r="N19" s="2">
        <v>-34100000000000</v>
      </c>
      <c r="O19" s="2">
        <v>500000000000</v>
      </c>
      <c r="P19">
        <f t="shared" si="1"/>
        <v>3.0120481927710845</v>
      </c>
    </row>
    <row r="20" spans="1:16" x14ac:dyDescent="0.2">
      <c r="A20">
        <v>85</v>
      </c>
      <c r="B20">
        <v>25</v>
      </c>
      <c r="C20">
        <v>410</v>
      </c>
      <c r="D20">
        <v>8700</v>
      </c>
      <c r="E20">
        <f t="shared" si="4"/>
        <v>150</v>
      </c>
      <c r="F20">
        <f t="shared" si="3"/>
        <v>12240</v>
      </c>
      <c r="G20">
        <f t="shared" si="5"/>
        <v>30</v>
      </c>
      <c r="H20">
        <f t="shared" si="2"/>
        <v>1.2254901960784314E-2</v>
      </c>
      <c r="I20">
        <f t="shared" si="0"/>
        <v>1.2254901960784315</v>
      </c>
      <c r="J20">
        <v>3985</v>
      </c>
      <c r="K20" s="2">
        <v>-500000000000</v>
      </c>
      <c r="L20">
        <v>3310</v>
      </c>
      <c r="M20">
        <v>674</v>
      </c>
      <c r="N20" s="2">
        <v>-34100000000000</v>
      </c>
      <c r="O20" s="2">
        <v>500000000000</v>
      </c>
      <c r="P20">
        <f t="shared" si="1"/>
        <v>3.0120481927710845</v>
      </c>
    </row>
    <row r="21" spans="1:16" x14ac:dyDescent="0.2">
      <c r="A21">
        <v>90</v>
      </c>
      <c r="B21">
        <v>25</v>
      </c>
      <c r="C21">
        <v>575</v>
      </c>
      <c r="D21">
        <v>8700</v>
      </c>
      <c r="E21">
        <f t="shared" si="4"/>
        <v>165</v>
      </c>
      <c r="F21">
        <f t="shared" si="3"/>
        <v>12960</v>
      </c>
      <c r="G21">
        <f t="shared" si="5"/>
        <v>33</v>
      </c>
      <c r="H21">
        <f t="shared" si="2"/>
        <v>1.2731481481481481E-2</v>
      </c>
      <c r="I21">
        <f t="shared" si="0"/>
        <v>1.2731481481481481</v>
      </c>
      <c r="J21">
        <v>3985</v>
      </c>
      <c r="K21" s="2">
        <v>-500000000000</v>
      </c>
      <c r="L21">
        <v>3310</v>
      </c>
      <c r="M21">
        <v>674</v>
      </c>
      <c r="N21" s="2">
        <v>-34100000000000</v>
      </c>
      <c r="O21" s="2">
        <v>500000000000</v>
      </c>
      <c r="P21">
        <f t="shared" si="1"/>
        <v>3.0120481927710845</v>
      </c>
    </row>
    <row r="22" spans="1:16" x14ac:dyDescent="0.2">
      <c r="A22">
        <v>95</v>
      </c>
      <c r="B22">
        <v>25</v>
      </c>
      <c r="C22">
        <v>760</v>
      </c>
      <c r="D22">
        <v>8700</v>
      </c>
      <c r="E22">
        <f t="shared" si="4"/>
        <v>185</v>
      </c>
      <c r="F22">
        <f t="shared" si="3"/>
        <v>13680</v>
      </c>
      <c r="G22">
        <f t="shared" si="5"/>
        <v>37</v>
      </c>
      <c r="H22">
        <f t="shared" si="2"/>
        <v>1.3523391812865496E-2</v>
      </c>
      <c r="I22">
        <f t="shared" si="0"/>
        <v>1.3523391812865497</v>
      </c>
      <c r="J22">
        <v>3985</v>
      </c>
      <c r="K22" s="2">
        <v>-500000000000</v>
      </c>
      <c r="L22">
        <v>3310</v>
      </c>
      <c r="M22">
        <v>674</v>
      </c>
      <c r="N22" s="2">
        <v>-34100000000000</v>
      </c>
      <c r="O22" s="2">
        <v>500000000000</v>
      </c>
      <c r="P22">
        <f t="shared" si="1"/>
        <v>3.0120481927710845</v>
      </c>
    </row>
    <row r="23" spans="1:16" x14ac:dyDescent="0.2">
      <c r="A23">
        <v>100</v>
      </c>
      <c r="B23">
        <v>25</v>
      </c>
      <c r="C23">
        <v>975</v>
      </c>
      <c r="D23">
        <v>8700</v>
      </c>
      <c r="E23">
        <f t="shared" si="4"/>
        <v>215</v>
      </c>
      <c r="F23">
        <f t="shared" si="3"/>
        <v>14400</v>
      </c>
      <c r="G23">
        <f t="shared" si="5"/>
        <v>43</v>
      </c>
      <c r="H23">
        <f t="shared" si="2"/>
        <v>1.4930555555555556E-2</v>
      </c>
      <c r="I23">
        <f t="shared" si="0"/>
        <v>1.4930555555555556</v>
      </c>
      <c r="J23">
        <v>3985</v>
      </c>
      <c r="K23" s="2">
        <v>-500000000000</v>
      </c>
      <c r="L23">
        <v>3310</v>
      </c>
      <c r="M23">
        <v>674</v>
      </c>
      <c r="N23" s="2">
        <v>-34100000000000</v>
      </c>
      <c r="O23" s="2">
        <v>500000000000</v>
      </c>
      <c r="P23">
        <f t="shared" si="1"/>
        <v>3.0120481927710845</v>
      </c>
    </row>
    <row r="24" spans="1:16" x14ac:dyDescent="0.2">
      <c r="A24">
        <v>105</v>
      </c>
      <c r="B24">
        <v>25</v>
      </c>
      <c r="C24">
        <v>1180</v>
      </c>
      <c r="D24">
        <v>8700</v>
      </c>
      <c r="E24">
        <f t="shared" si="4"/>
        <v>205</v>
      </c>
      <c r="F24">
        <f t="shared" si="3"/>
        <v>15120</v>
      </c>
      <c r="G24">
        <f t="shared" si="5"/>
        <v>41</v>
      </c>
      <c r="H24">
        <f t="shared" si="2"/>
        <v>1.3558201058201057E-2</v>
      </c>
      <c r="I24">
        <f t="shared" si="0"/>
        <v>1.3558201058201058</v>
      </c>
      <c r="J24">
        <v>3985</v>
      </c>
      <c r="K24" s="2">
        <v>-500000000000</v>
      </c>
      <c r="L24">
        <v>3310</v>
      </c>
      <c r="M24">
        <v>674</v>
      </c>
      <c r="N24" s="2">
        <v>-34100000000000</v>
      </c>
      <c r="O24" s="2">
        <v>500000000000</v>
      </c>
      <c r="P24">
        <f t="shared" si="1"/>
        <v>3.0120481927710845</v>
      </c>
    </row>
    <row r="25" spans="1:16" x14ac:dyDescent="0.2">
      <c r="A25">
        <v>110</v>
      </c>
      <c r="B25">
        <v>25</v>
      </c>
      <c r="C25">
        <v>1400</v>
      </c>
      <c r="D25">
        <v>8700</v>
      </c>
      <c r="E25">
        <f t="shared" si="4"/>
        <v>220</v>
      </c>
      <c r="F25">
        <f t="shared" si="3"/>
        <v>15840</v>
      </c>
      <c r="G25">
        <f t="shared" si="5"/>
        <v>44</v>
      </c>
      <c r="H25">
        <f t="shared" si="2"/>
        <v>1.3888888888888888E-2</v>
      </c>
      <c r="I25">
        <f t="shared" si="0"/>
        <v>1.3888888888888888</v>
      </c>
      <c r="J25">
        <v>3985</v>
      </c>
      <c r="K25" s="2">
        <v>-500000000000</v>
      </c>
      <c r="L25">
        <v>3310</v>
      </c>
      <c r="M25">
        <v>674</v>
      </c>
      <c r="N25" s="2">
        <v>-34100000000000</v>
      </c>
      <c r="O25" s="2">
        <v>500000000000</v>
      </c>
      <c r="P25">
        <f t="shared" si="1"/>
        <v>3.0120481927710845</v>
      </c>
    </row>
    <row r="26" spans="1:16" x14ac:dyDescent="0.2">
      <c r="A26">
        <v>115</v>
      </c>
      <c r="B26">
        <v>25</v>
      </c>
      <c r="C26">
        <v>1575</v>
      </c>
      <c r="D26">
        <v>8700</v>
      </c>
      <c r="E26">
        <f t="shared" si="4"/>
        <v>175</v>
      </c>
      <c r="F26">
        <f t="shared" si="3"/>
        <v>16560</v>
      </c>
      <c r="G26">
        <f t="shared" si="5"/>
        <v>35</v>
      </c>
      <c r="H26">
        <f t="shared" si="2"/>
        <v>1.0567632850241546E-2</v>
      </c>
      <c r="I26">
        <f t="shared" si="0"/>
        <v>1.0567632850241546</v>
      </c>
      <c r="J26">
        <v>3985</v>
      </c>
      <c r="K26" s="2">
        <v>-500000000000</v>
      </c>
      <c r="L26">
        <v>3310</v>
      </c>
      <c r="M26">
        <v>674</v>
      </c>
      <c r="N26" s="2">
        <v>-34100000000000</v>
      </c>
      <c r="O26" s="2">
        <v>500000000000</v>
      </c>
      <c r="P26">
        <f t="shared" si="1"/>
        <v>3.0120481927710845</v>
      </c>
    </row>
    <row r="27" spans="1:16" x14ac:dyDescent="0.2">
      <c r="A27">
        <v>120</v>
      </c>
      <c r="B27">
        <v>25</v>
      </c>
      <c r="C27">
        <v>1801</v>
      </c>
      <c r="D27">
        <v>8700</v>
      </c>
      <c r="E27">
        <f t="shared" si="4"/>
        <v>226</v>
      </c>
      <c r="F27">
        <f t="shared" si="3"/>
        <v>17280</v>
      </c>
      <c r="G27">
        <f t="shared" si="5"/>
        <v>45.2</v>
      </c>
      <c r="H27">
        <f t="shared" si="2"/>
        <v>1.3078703703703703E-2</v>
      </c>
      <c r="I27">
        <f t="shared" si="0"/>
        <v>1.3078703703703702</v>
      </c>
      <c r="J27">
        <v>3985</v>
      </c>
      <c r="K27" s="2">
        <v>-500000000000</v>
      </c>
      <c r="L27">
        <v>3310</v>
      </c>
      <c r="M27">
        <v>674</v>
      </c>
      <c r="N27" s="2">
        <v>-34100000000000</v>
      </c>
      <c r="O27" s="2">
        <v>500000000000</v>
      </c>
      <c r="P27">
        <f t="shared" si="1"/>
        <v>3.0120481927710845</v>
      </c>
    </row>
    <row r="28" spans="1:16" x14ac:dyDescent="0.2">
      <c r="A28">
        <v>125</v>
      </c>
      <c r="B28">
        <v>25</v>
      </c>
      <c r="C28">
        <v>1950</v>
      </c>
      <c r="D28">
        <v>8700</v>
      </c>
      <c r="E28">
        <f t="shared" si="4"/>
        <v>149</v>
      </c>
      <c r="F28">
        <f t="shared" si="3"/>
        <v>18000</v>
      </c>
      <c r="G28">
        <f t="shared" si="5"/>
        <v>29.8</v>
      </c>
      <c r="H28">
        <f t="shared" si="2"/>
        <v>8.277777777777778E-3</v>
      </c>
      <c r="I28">
        <f t="shared" si="0"/>
        <v>0.82777777777777783</v>
      </c>
      <c r="J28">
        <v>3985</v>
      </c>
      <c r="K28" s="2">
        <v>-500000000000</v>
      </c>
      <c r="L28">
        <v>3310</v>
      </c>
      <c r="M28">
        <v>674</v>
      </c>
      <c r="N28" s="2">
        <v>-34100000000000</v>
      </c>
      <c r="O28" s="2">
        <v>500000000000</v>
      </c>
      <c r="P28">
        <f t="shared" si="1"/>
        <v>3.0120481927710845</v>
      </c>
    </row>
    <row r="29" spans="1:16" x14ac:dyDescent="0.2">
      <c r="A29">
        <v>130</v>
      </c>
      <c r="B29">
        <v>25</v>
      </c>
      <c r="C29">
        <v>2110</v>
      </c>
      <c r="D29">
        <v>8700</v>
      </c>
      <c r="E29">
        <f t="shared" si="4"/>
        <v>160</v>
      </c>
      <c r="F29">
        <f t="shared" si="3"/>
        <v>18720</v>
      </c>
      <c r="G29">
        <f t="shared" si="5"/>
        <v>32</v>
      </c>
      <c r="H29">
        <f t="shared" si="2"/>
        <v>8.5470085470085479E-3</v>
      </c>
      <c r="I29">
        <f t="shared" si="0"/>
        <v>0.85470085470085477</v>
      </c>
      <c r="J29">
        <v>3985</v>
      </c>
      <c r="K29" s="2">
        <v>-500000000000</v>
      </c>
      <c r="L29">
        <v>3310</v>
      </c>
      <c r="M29">
        <v>674</v>
      </c>
      <c r="N29" s="2">
        <v>-34100000000000</v>
      </c>
      <c r="O29" s="2">
        <v>500000000000</v>
      </c>
      <c r="P29">
        <f t="shared" si="1"/>
        <v>3.0120481927710845</v>
      </c>
    </row>
    <row r="30" spans="1:16" x14ac:dyDescent="0.2">
      <c r="A30">
        <v>135</v>
      </c>
      <c r="B30">
        <v>25</v>
      </c>
      <c r="C30">
        <v>2260</v>
      </c>
      <c r="D30">
        <v>8700</v>
      </c>
      <c r="E30">
        <f t="shared" si="4"/>
        <v>150</v>
      </c>
      <c r="F30">
        <f t="shared" si="3"/>
        <v>19440</v>
      </c>
      <c r="G30">
        <f t="shared" si="5"/>
        <v>30</v>
      </c>
      <c r="H30">
        <f t="shared" si="2"/>
        <v>7.716049382716049E-3</v>
      </c>
      <c r="I30">
        <f t="shared" si="0"/>
        <v>0.77160493827160492</v>
      </c>
      <c r="J30">
        <v>3985</v>
      </c>
      <c r="K30" s="2">
        <v>-500000000000</v>
      </c>
      <c r="L30">
        <v>3310</v>
      </c>
      <c r="M30">
        <v>674</v>
      </c>
      <c r="N30" s="2">
        <v>-34100000000000</v>
      </c>
      <c r="O30" s="2">
        <v>500000000000</v>
      </c>
      <c r="P30">
        <f t="shared" si="1"/>
        <v>3.0120481927710845</v>
      </c>
    </row>
    <row r="31" spans="1:16" x14ac:dyDescent="0.2">
      <c r="A31">
        <v>140</v>
      </c>
      <c r="B31">
        <v>25</v>
      </c>
      <c r="C31">
        <v>2410</v>
      </c>
      <c r="D31">
        <v>8700</v>
      </c>
      <c r="E31">
        <f t="shared" si="4"/>
        <v>150</v>
      </c>
      <c r="F31">
        <f t="shared" si="3"/>
        <v>20160</v>
      </c>
      <c r="G31">
        <f t="shared" si="5"/>
        <v>30</v>
      </c>
      <c r="H31">
        <f t="shared" si="2"/>
        <v>7.4404761904761901E-3</v>
      </c>
      <c r="I31">
        <f t="shared" si="0"/>
        <v>0.74404761904761896</v>
      </c>
      <c r="J31">
        <v>3985</v>
      </c>
      <c r="K31" s="2">
        <v>-500000000000</v>
      </c>
      <c r="L31">
        <v>3310</v>
      </c>
      <c r="M31">
        <v>674</v>
      </c>
      <c r="N31" s="2">
        <v>-34100000000000</v>
      </c>
      <c r="O31" s="2">
        <v>500000000000</v>
      </c>
      <c r="P31">
        <f t="shared" si="1"/>
        <v>3.0120481927710845</v>
      </c>
    </row>
    <row r="32" spans="1:16" x14ac:dyDescent="0.2">
      <c r="A32">
        <v>145</v>
      </c>
      <c r="B32">
        <v>25</v>
      </c>
      <c r="C32">
        <v>2540</v>
      </c>
      <c r="D32">
        <v>8700</v>
      </c>
      <c r="E32">
        <f t="shared" si="4"/>
        <v>130</v>
      </c>
      <c r="F32">
        <f t="shared" si="3"/>
        <v>20880</v>
      </c>
      <c r="G32">
        <f t="shared" si="5"/>
        <v>26</v>
      </c>
      <c r="H32">
        <f t="shared" si="2"/>
        <v>6.2260536398467429E-3</v>
      </c>
      <c r="I32">
        <f t="shared" si="0"/>
        <v>0.62260536398467425</v>
      </c>
      <c r="J32">
        <v>3985</v>
      </c>
      <c r="K32" s="2">
        <v>-500000000000</v>
      </c>
      <c r="L32">
        <v>3310</v>
      </c>
      <c r="M32">
        <v>674</v>
      </c>
      <c r="N32" s="2">
        <v>-34100000000000</v>
      </c>
      <c r="O32" s="2">
        <v>500000000000</v>
      </c>
      <c r="P32">
        <f t="shared" si="1"/>
        <v>3.0120481927710845</v>
      </c>
    </row>
    <row r="33" spans="1:16" x14ac:dyDescent="0.2">
      <c r="A33">
        <v>152</v>
      </c>
      <c r="B33">
        <v>25</v>
      </c>
      <c r="C33">
        <v>2750</v>
      </c>
      <c r="D33">
        <v>8700</v>
      </c>
      <c r="E33">
        <f t="shared" si="4"/>
        <v>210</v>
      </c>
      <c r="F33">
        <f t="shared" si="3"/>
        <v>21888</v>
      </c>
      <c r="G33">
        <f t="shared" si="5"/>
        <v>30</v>
      </c>
      <c r="H33">
        <f t="shared" si="2"/>
        <v>9.5942982456140354E-3</v>
      </c>
      <c r="I33">
        <f t="shared" si="0"/>
        <v>0.95942982456140358</v>
      </c>
      <c r="J33">
        <v>3985</v>
      </c>
      <c r="K33" s="2">
        <v>-500000000000</v>
      </c>
      <c r="L33">
        <v>3310</v>
      </c>
      <c r="M33">
        <v>674</v>
      </c>
      <c r="N33" s="2">
        <v>-34100000000000</v>
      </c>
      <c r="O33" s="2">
        <v>500000000000</v>
      </c>
      <c r="P33">
        <f t="shared" si="1"/>
        <v>3.0120481927710845</v>
      </c>
    </row>
    <row r="34" spans="1:16" x14ac:dyDescent="0.2">
      <c r="A34">
        <v>172</v>
      </c>
      <c r="B34">
        <v>25</v>
      </c>
      <c r="C34">
        <v>3278</v>
      </c>
      <c r="D34">
        <v>9400</v>
      </c>
      <c r="E34">
        <f t="shared" si="4"/>
        <v>528</v>
      </c>
      <c r="F34">
        <f t="shared" si="3"/>
        <v>24768</v>
      </c>
      <c r="G34">
        <f t="shared" si="5"/>
        <v>26.4</v>
      </c>
      <c r="H34">
        <f t="shared" si="2"/>
        <v>2.1317829457364341E-2</v>
      </c>
      <c r="I34">
        <f t="shared" si="0"/>
        <v>2.1317829457364339</v>
      </c>
      <c r="J34">
        <v>3985</v>
      </c>
      <c r="K34" s="2">
        <v>-500000000000</v>
      </c>
      <c r="L34">
        <v>3310</v>
      </c>
      <c r="M34">
        <v>674</v>
      </c>
      <c r="N34" s="2">
        <v>-34100000000000</v>
      </c>
      <c r="O34" s="2">
        <v>500000000000</v>
      </c>
      <c r="P34">
        <f t="shared" si="1"/>
        <v>3.0120481927710845</v>
      </c>
    </row>
    <row r="35" spans="1:16" x14ac:dyDescent="0.2">
      <c r="A35">
        <v>179</v>
      </c>
      <c r="B35">
        <v>25</v>
      </c>
      <c r="C35">
        <v>3447</v>
      </c>
      <c r="D35">
        <v>9400</v>
      </c>
      <c r="E35">
        <f t="shared" si="4"/>
        <v>169</v>
      </c>
      <c r="F35">
        <f t="shared" si="3"/>
        <v>25776</v>
      </c>
      <c r="G35">
        <f t="shared" si="5"/>
        <v>24.142857142857142</v>
      </c>
      <c r="H35">
        <f t="shared" si="2"/>
        <v>6.5564866542520174E-3</v>
      </c>
      <c r="I35">
        <f t="shared" si="0"/>
        <v>0.65564866542520173</v>
      </c>
      <c r="J35">
        <v>3985</v>
      </c>
      <c r="K35" s="2">
        <v>-500000000000</v>
      </c>
      <c r="L35">
        <v>3310</v>
      </c>
      <c r="M35">
        <v>674</v>
      </c>
      <c r="N35" s="2">
        <v>-34100000000000</v>
      </c>
      <c r="O35" s="2">
        <v>500000000000</v>
      </c>
      <c r="P35">
        <f t="shared" si="1"/>
        <v>3.0120481927710845</v>
      </c>
    </row>
    <row r="36" spans="1:16" x14ac:dyDescent="0.2">
      <c r="A36">
        <v>184</v>
      </c>
      <c r="B36">
        <v>25</v>
      </c>
      <c r="C36">
        <v>3583</v>
      </c>
      <c r="D36">
        <v>9400</v>
      </c>
      <c r="E36">
        <f t="shared" si="4"/>
        <v>136</v>
      </c>
      <c r="F36">
        <f t="shared" si="3"/>
        <v>26496</v>
      </c>
      <c r="G36">
        <f t="shared" si="5"/>
        <v>27.2</v>
      </c>
      <c r="H36">
        <f t="shared" si="2"/>
        <v>5.132850241545894E-3</v>
      </c>
      <c r="I36">
        <f t="shared" si="0"/>
        <v>0.51328502415458943</v>
      </c>
      <c r="J36">
        <v>3985</v>
      </c>
      <c r="K36" s="2">
        <v>-500000000000</v>
      </c>
      <c r="L36">
        <v>3310</v>
      </c>
      <c r="M36">
        <v>674</v>
      </c>
      <c r="N36" s="2">
        <v>-34100000000000</v>
      </c>
      <c r="O36" s="2">
        <v>500000000000</v>
      </c>
      <c r="P36">
        <f t="shared" si="1"/>
        <v>3.0120481927710845</v>
      </c>
    </row>
    <row r="37" spans="1:16" x14ac:dyDescent="0.2">
      <c r="A37">
        <v>190</v>
      </c>
      <c r="B37">
        <v>25</v>
      </c>
      <c r="C37">
        <v>3880</v>
      </c>
      <c r="D37">
        <v>9400</v>
      </c>
      <c r="E37">
        <f t="shared" si="4"/>
        <v>297</v>
      </c>
      <c r="F37">
        <f t="shared" si="3"/>
        <v>27360</v>
      </c>
      <c r="G37">
        <f t="shared" si="5"/>
        <v>49.5</v>
      </c>
      <c r="H37">
        <f t="shared" si="2"/>
        <v>1.0855263157894738E-2</v>
      </c>
      <c r="I37">
        <f t="shared" si="0"/>
        <v>1.0855263157894737</v>
      </c>
      <c r="J37">
        <v>3985</v>
      </c>
      <c r="K37" s="2">
        <v>-500000000000</v>
      </c>
      <c r="L37">
        <v>3310</v>
      </c>
      <c r="M37">
        <v>674</v>
      </c>
      <c r="N37" s="2">
        <v>-34100000000000</v>
      </c>
      <c r="O37" s="2">
        <v>500000000000</v>
      </c>
      <c r="P37">
        <f t="shared" si="1"/>
        <v>3.0120481927710845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2670-E64A-6247-89E5-9B978FFF9247}">
  <dimension ref="A1:P36"/>
  <sheetViews>
    <sheetView topLeftCell="H3" workbookViewId="0">
      <selection activeCell="K2" sqref="K2:P36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C2">
        <v>-4.93</v>
      </c>
      <c r="D2">
        <v>8760</v>
      </c>
      <c r="E2" cm="1">
        <f t="array" aca="1" ref="E2" ca="1">E2:G296</f>
        <v>0</v>
      </c>
      <c r="F2" cm="1">
        <f t="array" aca="1" ref="F2" ca="1">F2:H316</f>
        <v>0</v>
      </c>
      <c r="G2">
        <v>0</v>
      </c>
      <c r="H2">
        <v>0</v>
      </c>
      <c r="I2">
        <f>H2*100</f>
        <v>0</v>
      </c>
      <c r="J2">
        <v>3960</v>
      </c>
      <c r="K2" s="2">
        <v>400000000000</v>
      </c>
      <c r="L2">
        <v>3050</v>
      </c>
      <c r="M2">
        <v>935</v>
      </c>
      <c r="N2" s="2">
        <v>-16200000000000</v>
      </c>
      <c r="O2" s="2">
        <v>460000000000</v>
      </c>
      <c r="P2">
        <f>(150/3985)*100</f>
        <v>3.7641154328732744</v>
      </c>
    </row>
    <row r="3" spans="1:16" x14ac:dyDescent="0.2">
      <c r="A3">
        <v>5</v>
      </c>
      <c r="B3">
        <v>40</v>
      </c>
      <c r="C3">
        <v>-2.61</v>
      </c>
      <c r="D3">
        <v>8760</v>
      </c>
      <c r="E3">
        <f>C3-C2</f>
        <v>2.3199999999999998</v>
      </c>
      <c r="F3">
        <f>3600/B3*A3</f>
        <v>450</v>
      </c>
      <c r="G3">
        <f>E3/A3</f>
        <v>0.46399999999999997</v>
      </c>
      <c r="H3">
        <f>E3/(3600/B3*A3)</f>
        <v>5.1555555555555556E-3</v>
      </c>
      <c r="I3">
        <f t="shared" ref="I3:I36" si="0">H3*100</f>
        <v>0.51555555555555554</v>
      </c>
      <c r="J3">
        <v>3960</v>
      </c>
      <c r="K3" s="2">
        <v>400000000000</v>
      </c>
      <c r="L3">
        <v>3050</v>
      </c>
      <c r="M3">
        <v>935</v>
      </c>
      <c r="N3" s="2">
        <v>-16200000000000</v>
      </c>
      <c r="O3" s="2">
        <v>460000000000</v>
      </c>
      <c r="P3">
        <f t="shared" ref="P3:P36" si="1">(150/3985)*100</f>
        <v>3.7641154328732744</v>
      </c>
    </row>
    <row r="4" spans="1:16" x14ac:dyDescent="0.2">
      <c r="A4">
        <v>10</v>
      </c>
      <c r="B4">
        <v>40</v>
      </c>
      <c r="C4">
        <v>0</v>
      </c>
      <c r="D4">
        <v>8760</v>
      </c>
      <c r="E4">
        <f>C4-C3</f>
        <v>2.61</v>
      </c>
      <c r="F4">
        <f>3600/B4*A4</f>
        <v>900</v>
      </c>
      <c r="G4">
        <f>E4/(A4-A3)</f>
        <v>0.52200000000000002</v>
      </c>
      <c r="H4">
        <f t="shared" ref="H4:H36" si="2">E4/(3600/B4*A4)</f>
        <v>2.8999999999999998E-3</v>
      </c>
      <c r="I4">
        <f t="shared" si="0"/>
        <v>0.28999999999999998</v>
      </c>
      <c r="J4">
        <v>3960</v>
      </c>
      <c r="K4" s="2">
        <v>400000000000</v>
      </c>
      <c r="L4">
        <v>3050</v>
      </c>
      <c r="M4">
        <v>935</v>
      </c>
      <c r="N4" s="2">
        <v>-16200000000000</v>
      </c>
      <c r="O4" s="2">
        <v>460000000000</v>
      </c>
      <c r="P4">
        <f t="shared" si="1"/>
        <v>3.7641154328732744</v>
      </c>
    </row>
    <row r="5" spans="1:16" x14ac:dyDescent="0.2">
      <c r="A5">
        <v>15</v>
      </c>
      <c r="B5">
        <v>40</v>
      </c>
      <c r="C5">
        <v>3.88</v>
      </c>
      <c r="D5">
        <v>8760</v>
      </c>
      <c r="E5">
        <f>C5-C4</f>
        <v>3.88</v>
      </c>
      <c r="F5">
        <f t="shared" ref="F5:F36" si="3">3600/B5*A5</f>
        <v>1350</v>
      </c>
      <c r="G5">
        <f>E5/(A5-A4)</f>
        <v>0.77600000000000002</v>
      </c>
      <c r="H5">
        <f t="shared" si="2"/>
        <v>2.874074074074074E-3</v>
      </c>
      <c r="I5">
        <f t="shared" si="0"/>
        <v>0.28740740740740739</v>
      </c>
      <c r="J5">
        <v>3960</v>
      </c>
      <c r="K5" s="2">
        <v>400000000000</v>
      </c>
      <c r="L5">
        <v>3050</v>
      </c>
      <c r="M5">
        <v>935</v>
      </c>
      <c r="N5" s="2">
        <v>-16200000000000</v>
      </c>
      <c r="O5" s="2">
        <v>460000000000</v>
      </c>
      <c r="P5">
        <f t="shared" si="1"/>
        <v>3.7641154328732744</v>
      </c>
    </row>
    <row r="6" spans="1:16" x14ac:dyDescent="0.2">
      <c r="A6">
        <v>20</v>
      </c>
      <c r="B6">
        <v>25</v>
      </c>
      <c r="C6">
        <v>9.69</v>
      </c>
      <c r="D6">
        <v>8740</v>
      </c>
      <c r="E6">
        <f t="shared" ref="E6:E36" si="4">C6-C5</f>
        <v>5.81</v>
      </c>
      <c r="F6">
        <f t="shared" si="3"/>
        <v>2880</v>
      </c>
      <c r="G6">
        <f t="shared" ref="G6:G36" si="5">E6/(A6-A5)</f>
        <v>1.1619999999999999</v>
      </c>
      <c r="H6">
        <f t="shared" si="2"/>
        <v>2.0173611111111108E-3</v>
      </c>
      <c r="I6">
        <f t="shared" si="0"/>
        <v>0.20173611111111109</v>
      </c>
      <c r="J6">
        <v>3960</v>
      </c>
      <c r="K6" s="2">
        <v>400000000000</v>
      </c>
      <c r="L6">
        <v>3050</v>
      </c>
      <c r="M6">
        <v>935</v>
      </c>
      <c r="N6" s="2">
        <v>-16200000000000</v>
      </c>
      <c r="O6" s="2">
        <v>460000000000</v>
      </c>
      <c r="P6">
        <f t="shared" si="1"/>
        <v>3.7641154328732744</v>
      </c>
    </row>
    <row r="7" spans="1:16" x14ac:dyDescent="0.2">
      <c r="A7">
        <v>25</v>
      </c>
      <c r="B7">
        <v>25</v>
      </c>
      <c r="C7">
        <v>17.95</v>
      </c>
      <c r="D7">
        <v>8720</v>
      </c>
      <c r="E7">
        <f t="shared" si="4"/>
        <v>8.26</v>
      </c>
      <c r="F7">
        <f t="shared" si="3"/>
        <v>3600</v>
      </c>
      <c r="G7">
        <f t="shared" si="5"/>
        <v>1.6519999999999999</v>
      </c>
      <c r="H7">
        <f t="shared" si="2"/>
        <v>2.2944444444444444E-3</v>
      </c>
      <c r="I7">
        <f t="shared" si="0"/>
        <v>0.22944444444444445</v>
      </c>
      <c r="J7">
        <v>3960</v>
      </c>
      <c r="K7" s="2">
        <v>400000000000</v>
      </c>
      <c r="L7">
        <v>3050</v>
      </c>
      <c r="M7">
        <v>935</v>
      </c>
      <c r="N7" s="2">
        <v>-16200000000000</v>
      </c>
      <c r="O7" s="2">
        <v>460000000000</v>
      </c>
      <c r="P7">
        <f t="shared" si="1"/>
        <v>3.7641154328732744</v>
      </c>
    </row>
    <row r="8" spans="1:16" x14ac:dyDescent="0.2">
      <c r="A8">
        <v>30</v>
      </c>
      <c r="B8">
        <v>25</v>
      </c>
      <c r="C8">
        <v>30</v>
      </c>
      <c r="D8">
        <v>8700</v>
      </c>
      <c r="E8">
        <f t="shared" si="4"/>
        <v>12.05</v>
      </c>
      <c r="F8">
        <f t="shared" si="3"/>
        <v>4320</v>
      </c>
      <c r="G8">
        <f t="shared" si="5"/>
        <v>2.41</v>
      </c>
      <c r="H8">
        <f t="shared" si="2"/>
        <v>2.7893518518518519E-3</v>
      </c>
      <c r="I8">
        <f t="shared" si="0"/>
        <v>0.27893518518518517</v>
      </c>
      <c r="J8">
        <v>3960</v>
      </c>
      <c r="K8" s="2">
        <v>400000000000</v>
      </c>
      <c r="L8">
        <v>3050</v>
      </c>
      <c r="M8">
        <v>935</v>
      </c>
      <c r="N8" s="2">
        <v>-16200000000000</v>
      </c>
      <c r="O8" s="2">
        <v>460000000000</v>
      </c>
      <c r="P8">
        <f t="shared" si="1"/>
        <v>3.7641154328732744</v>
      </c>
    </row>
    <row r="9" spans="1:16" x14ac:dyDescent="0.2">
      <c r="A9">
        <v>35</v>
      </c>
      <c r="B9">
        <v>25</v>
      </c>
      <c r="C9">
        <v>43.09</v>
      </c>
      <c r="D9">
        <v>8680</v>
      </c>
      <c r="E9">
        <f t="shared" si="4"/>
        <v>13.090000000000003</v>
      </c>
      <c r="F9">
        <f t="shared" si="3"/>
        <v>5040</v>
      </c>
      <c r="G9">
        <f t="shared" si="5"/>
        <v>2.6180000000000008</v>
      </c>
      <c r="H9">
        <f t="shared" si="2"/>
        <v>2.597222222222223E-3</v>
      </c>
      <c r="I9">
        <f t="shared" si="0"/>
        <v>0.2597222222222223</v>
      </c>
      <c r="J9">
        <v>3960</v>
      </c>
      <c r="K9" s="2">
        <v>400000000000</v>
      </c>
      <c r="L9">
        <v>3050</v>
      </c>
      <c r="M9">
        <v>935</v>
      </c>
      <c r="N9" s="2">
        <v>-16200000000000</v>
      </c>
      <c r="O9" s="2">
        <v>460000000000</v>
      </c>
      <c r="P9">
        <f t="shared" si="1"/>
        <v>3.7641154328732744</v>
      </c>
    </row>
    <row r="10" spans="1:16" x14ac:dyDescent="0.2">
      <c r="A10">
        <v>40</v>
      </c>
      <c r="B10">
        <v>25</v>
      </c>
      <c r="C10">
        <v>68.83</v>
      </c>
      <c r="D10">
        <v>8660</v>
      </c>
      <c r="E10">
        <f t="shared" si="4"/>
        <v>25.739999999999995</v>
      </c>
      <c r="F10">
        <f t="shared" si="3"/>
        <v>5760</v>
      </c>
      <c r="G10">
        <f t="shared" si="5"/>
        <v>5.1479999999999988</v>
      </c>
      <c r="H10">
        <f t="shared" si="2"/>
        <v>4.4687499999999988E-3</v>
      </c>
      <c r="I10">
        <f t="shared" si="0"/>
        <v>0.44687499999999986</v>
      </c>
      <c r="J10">
        <v>3960</v>
      </c>
      <c r="K10" s="2">
        <v>400000000000</v>
      </c>
      <c r="L10">
        <v>3050</v>
      </c>
      <c r="M10">
        <v>935</v>
      </c>
      <c r="N10" s="2">
        <v>-16200000000000</v>
      </c>
      <c r="O10" s="2">
        <v>460000000000</v>
      </c>
      <c r="P10">
        <f t="shared" si="1"/>
        <v>3.7641154328732744</v>
      </c>
    </row>
    <row r="11" spans="1:16" x14ac:dyDescent="0.2">
      <c r="A11">
        <v>45</v>
      </c>
      <c r="B11">
        <v>25</v>
      </c>
      <c r="C11">
        <v>115</v>
      </c>
      <c r="D11">
        <v>8640</v>
      </c>
      <c r="E11">
        <f t="shared" si="4"/>
        <v>46.17</v>
      </c>
      <c r="F11">
        <f t="shared" si="3"/>
        <v>6480</v>
      </c>
      <c r="G11">
        <f t="shared" si="5"/>
        <v>9.234</v>
      </c>
      <c r="H11">
        <f t="shared" si="2"/>
        <v>7.1250000000000003E-3</v>
      </c>
      <c r="I11">
        <f t="shared" si="0"/>
        <v>0.71250000000000002</v>
      </c>
      <c r="J11">
        <v>3960</v>
      </c>
      <c r="K11" s="2">
        <v>400000000000</v>
      </c>
      <c r="L11">
        <v>3050</v>
      </c>
      <c r="M11">
        <v>935</v>
      </c>
      <c r="N11" s="2">
        <v>-16200000000000</v>
      </c>
      <c r="O11" s="2">
        <v>460000000000</v>
      </c>
      <c r="P11">
        <f t="shared" si="1"/>
        <v>3.7641154328732744</v>
      </c>
    </row>
    <row r="12" spans="1:16" x14ac:dyDescent="0.2">
      <c r="A12">
        <v>55</v>
      </c>
      <c r="B12">
        <v>25</v>
      </c>
      <c r="C12">
        <v>248</v>
      </c>
      <c r="D12">
        <v>8620</v>
      </c>
      <c r="E12">
        <f t="shared" si="4"/>
        <v>133</v>
      </c>
      <c r="F12">
        <f t="shared" si="3"/>
        <v>7920</v>
      </c>
      <c r="G12">
        <f>E12/A12</f>
        <v>2.418181818181818</v>
      </c>
      <c r="H12">
        <f t="shared" si="2"/>
        <v>1.6792929292929294E-2</v>
      </c>
      <c r="I12">
        <f t="shared" si="0"/>
        <v>1.6792929292929293</v>
      </c>
      <c r="J12">
        <v>3960</v>
      </c>
      <c r="K12" s="2">
        <v>400000000000</v>
      </c>
      <c r="L12">
        <v>3050</v>
      </c>
      <c r="M12">
        <v>935</v>
      </c>
      <c r="N12" s="2">
        <v>-16200000000000</v>
      </c>
      <c r="O12" s="2">
        <v>460000000000</v>
      </c>
      <c r="P12">
        <f t="shared" si="1"/>
        <v>3.7641154328732744</v>
      </c>
    </row>
    <row r="13" spans="1:16" x14ac:dyDescent="0.2">
      <c r="A13">
        <v>60</v>
      </c>
      <c r="B13">
        <v>25</v>
      </c>
      <c r="C13">
        <v>335</v>
      </c>
      <c r="D13">
        <v>8620</v>
      </c>
      <c r="E13">
        <f t="shared" si="4"/>
        <v>87</v>
      </c>
      <c r="F13">
        <f t="shared" si="3"/>
        <v>8640</v>
      </c>
      <c r="G13">
        <f t="shared" si="5"/>
        <v>17.399999999999999</v>
      </c>
      <c r="H13">
        <f t="shared" si="2"/>
        <v>1.0069444444444445E-2</v>
      </c>
      <c r="I13">
        <f t="shared" si="0"/>
        <v>1.0069444444444444</v>
      </c>
      <c r="J13">
        <v>3960</v>
      </c>
      <c r="K13" s="2">
        <v>400000000000</v>
      </c>
      <c r="L13">
        <v>3050</v>
      </c>
      <c r="M13">
        <v>935</v>
      </c>
      <c r="N13" s="2">
        <v>-16200000000000</v>
      </c>
      <c r="O13" s="2">
        <v>460000000000</v>
      </c>
      <c r="P13">
        <f t="shared" si="1"/>
        <v>3.7641154328732744</v>
      </c>
    </row>
    <row r="14" spans="1:16" x14ac:dyDescent="0.2">
      <c r="A14">
        <v>61.3</v>
      </c>
      <c r="B14">
        <v>25</v>
      </c>
      <c r="C14">
        <v>373</v>
      </c>
      <c r="D14">
        <v>8720</v>
      </c>
      <c r="E14">
        <f t="shared" si="4"/>
        <v>38</v>
      </c>
      <c r="F14">
        <f t="shared" si="3"/>
        <v>8827.1999999999989</v>
      </c>
      <c r="G14">
        <f t="shared" si="5"/>
        <v>29.230769230769294</v>
      </c>
      <c r="H14">
        <f t="shared" si="2"/>
        <v>4.3048758383179269E-3</v>
      </c>
      <c r="I14">
        <f t="shared" si="0"/>
        <v>0.4304875838317927</v>
      </c>
      <c r="J14">
        <v>3960</v>
      </c>
      <c r="K14" s="2">
        <v>400000000000</v>
      </c>
      <c r="L14">
        <v>3050</v>
      </c>
      <c r="M14">
        <v>935</v>
      </c>
      <c r="N14" s="2">
        <v>-16200000000000</v>
      </c>
      <c r="O14" s="2">
        <v>460000000000</v>
      </c>
      <c r="P14">
        <f t="shared" si="1"/>
        <v>3.7641154328732744</v>
      </c>
    </row>
    <row r="15" spans="1:16" x14ac:dyDescent="0.2">
      <c r="A15">
        <v>66.3</v>
      </c>
      <c r="B15">
        <v>25</v>
      </c>
      <c r="C15">
        <v>515</v>
      </c>
      <c r="D15">
        <v>8720</v>
      </c>
      <c r="E15">
        <f t="shared" si="4"/>
        <v>142</v>
      </c>
      <c r="F15">
        <f t="shared" si="3"/>
        <v>9547.1999999999989</v>
      </c>
      <c r="G15">
        <f t="shared" si="5"/>
        <v>28.4</v>
      </c>
      <c r="H15">
        <f t="shared" si="2"/>
        <v>1.4873470755823699E-2</v>
      </c>
      <c r="I15">
        <f t="shared" si="0"/>
        <v>1.4873470755823699</v>
      </c>
      <c r="J15">
        <v>3960</v>
      </c>
      <c r="K15" s="2">
        <v>400000000000</v>
      </c>
      <c r="L15">
        <v>3050</v>
      </c>
      <c r="M15">
        <v>935</v>
      </c>
      <c r="N15" s="2">
        <v>-16200000000000</v>
      </c>
      <c r="O15" s="2">
        <v>460000000000</v>
      </c>
      <c r="P15">
        <f t="shared" si="1"/>
        <v>3.7641154328732744</v>
      </c>
    </row>
    <row r="16" spans="1:16" x14ac:dyDescent="0.2">
      <c r="A16">
        <v>71.3</v>
      </c>
      <c r="B16">
        <v>25</v>
      </c>
      <c r="C16">
        <v>674</v>
      </c>
      <c r="D16">
        <v>8720</v>
      </c>
      <c r="E16">
        <f t="shared" si="4"/>
        <v>159</v>
      </c>
      <c r="F16">
        <f t="shared" si="3"/>
        <v>10267.199999999999</v>
      </c>
      <c r="G16">
        <f t="shared" si="5"/>
        <v>31.8</v>
      </c>
      <c r="H16">
        <f t="shared" si="2"/>
        <v>1.5486208508648904E-2</v>
      </c>
      <c r="I16">
        <f t="shared" si="0"/>
        <v>1.5486208508648904</v>
      </c>
      <c r="J16">
        <v>3960</v>
      </c>
      <c r="K16" s="2">
        <v>400000000000</v>
      </c>
      <c r="L16">
        <v>3050</v>
      </c>
      <c r="M16">
        <v>935</v>
      </c>
      <c r="N16" s="2">
        <v>-16200000000000</v>
      </c>
      <c r="O16" s="2">
        <v>460000000000</v>
      </c>
      <c r="P16">
        <f t="shared" si="1"/>
        <v>3.7641154328732744</v>
      </c>
    </row>
    <row r="17" spans="1:16" x14ac:dyDescent="0.2">
      <c r="A17">
        <v>75</v>
      </c>
      <c r="B17">
        <v>25</v>
      </c>
      <c r="C17">
        <v>800</v>
      </c>
      <c r="D17">
        <v>8720</v>
      </c>
      <c r="E17">
        <f t="shared" si="4"/>
        <v>126</v>
      </c>
      <c r="F17">
        <f t="shared" si="3"/>
        <v>10800</v>
      </c>
      <c r="G17">
        <f t="shared" si="5"/>
        <v>34.054054054054028</v>
      </c>
      <c r="H17">
        <f t="shared" si="2"/>
        <v>1.1666666666666667E-2</v>
      </c>
      <c r="I17">
        <f t="shared" si="0"/>
        <v>1.1666666666666667</v>
      </c>
      <c r="J17">
        <v>3960</v>
      </c>
      <c r="K17" s="2">
        <v>400000000000</v>
      </c>
      <c r="L17">
        <v>3050</v>
      </c>
      <c r="M17">
        <v>935</v>
      </c>
      <c r="N17" s="2">
        <v>-16200000000000</v>
      </c>
      <c r="O17" s="2">
        <v>460000000000</v>
      </c>
      <c r="P17">
        <f t="shared" si="1"/>
        <v>3.7641154328732744</v>
      </c>
    </row>
    <row r="18" spans="1:16" x14ac:dyDescent="0.2">
      <c r="A18">
        <v>80</v>
      </c>
      <c r="B18">
        <v>25</v>
      </c>
      <c r="C18">
        <v>969</v>
      </c>
      <c r="D18">
        <v>8720</v>
      </c>
      <c r="E18">
        <f t="shared" si="4"/>
        <v>169</v>
      </c>
      <c r="F18">
        <f t="shared" si="3"/>
        <v>11520</v>
      </c>
      <c r="G18">
        <f t="shared" si="5"/>
        <v>33.799999999999997</v>
      </c>
      <c r="H18">
        <f t="shared" si="2"/>
        <v>1.4670138888888889E-2</v>
      </c>
      <c r="I18">
        <f t="shared" si="0"/>
        <v>1.4670138888888888</v>
      </c>
      <c r="J18">
        <v>3960</v>
      </c>
      <c r="K18" s="2">
        <v>400000000000</v>
      </c>
      <c r="L18">
        <v>3050</v>
      </c>
      <c r="M18">
        <v>935</v>
      </c>
      <c r="N18" s="2">
        <v>-16200000000000</v>
      </c>
      <c r="O18" s="2">
        <v>460000000000</v>
      </c>
      <c r="P18">
        <f t="shared" si="1"/>
        <v>3.7641154328732744</v>
      </c>
    </row>
    <row r="19" spans="1:16" x14ac:dyDescent="0.2">
      <c r="A19">
        <v>85</v>
      </c>
      <c r="B19">
        <v>25</v>
      </c>
      <c r="C19">
        <v>1132</v>
      </c>
      <c r="D19">
        <v>8700</v>
      </c>
      <c r="E19">
        <f t="shared" si="4"/>
        <v>163</v>
      </c>
      <c r="F19">
        <f t="shared" si="3"/>
        <v>12240</v>
      </c>
      <c r="G19">
        <f t="shared" si="5"/>
        <v>32.6</v>
      </c>
      <c r="H19">
        <f t="shared" si="2"/>
        <v>1.3316993464052287E-2</v>
      </c>
      <c r="I19">
        <f t="shared" si="0"/>
        <v>1.3316993464052287</v>
      </c>
      <c r="J19">
        <v>3960</v>
      </c>
      <c r="K19" s="2">
        <v>400000000000</v>
      </c>
      <c r="L19">
        <v>3050</v>
      </c>
      <c r="M19">
        <v>935</v>
      </c>
      <c r="N19" s="2">
        <v>-16200000000000</v>
      </c>
      <c r="O19" s="2">
        <v>460000000000</v>
      </c>
      <c r="P19">
        <f t="shared" si="1"/>
        <v>3.7641154328732744</v>
      </c>
    </row>
    <row r="20" spans="1:16" x14ac:dyDescent="0.2">
      <c r="A20">
        <v>90</v>
      </c>
      <c r="B20">
        <v>25</v>
      </c>
      <c r="C20">
        <v>1287</v>
      </c>
      <c r="D20">
        <v>8700</v>
      </c>
      <c r="E20">
        <f t="shared" si="4"/>
        <v>155</v>
      </c>
      <c r="F20">
        <f t="shared" si="3"/>
        <v>12960</v>
      </c>
      <c r="G20">
        <f t="shared" si="5"/>
        <v>31</v>
      </c>
      <c r="H20">
        <f t="shared" si="2"/>
        <v>1.1959876543209876E-2</v>
      </c>
      <c r="I20">
        <f t="shared" si="0"/>
        <v>1.1959876543209875</v>
      </c>
      <c r="J20">
        <v>3960</v>
      </c>
      <c r="K20" s="2">
        <v>400000000000</v>
      </c>
      <c r="L20">
        <v>3050</v>
      </c>
      <c r="M20">
        <v>935</v>
      </c>
      <c r="N20" s="2">
        <v>-16200000000000</v>
      </c>
      <c r="O20" s="2">
        <v>460000000000</v>
      </c>
      <c r="P20">
        <f t="shared" si="1"/>
        <v>3.7641154328732744</v>
      </c>
    </row>
    <row r="21" spans="1:16" x14ac:dyDescent="0.2">
      <c r="A21">
        <v>100</v>
      </c>
      <c r="B21">
        <v>25</v>
      </c>
      <c r="C21">
        <v>1593</v>
      </c>
      <c r="D21">
        <v>8700</v>
      </c>
      <c r="E21">
        <f t="shared" si="4"/>
        <v>306</v>
      </c>
      <c r="F21">
        <f t="shared" si="3"/>
        <v>14400</v>
      </c>
      <c r="G21">
        <f t="shared" si="5"/>
        <v>30.6</v>
      </c>
      <c r="H21">
        <f t="shared" si="2"/>
        <v>2.1250000000000002E-2</v>
      </c>
      <c r="I21">
        <f t="shared" si="0"/>
        <v>2.125</v>
      </c>
      <c r="J21">
        <v>3960</v>
      </c>
      <c r="K21" s="2">
        <v>400000000000</v>
      </c>
      <c r="L21">
        <v>3050</v>
      </c>
      <c r="M21">
        <v>935</v>
      </c>
      <c r="N21" s="2">
        <v>-16200000000000</v>
      </c>
      <c r="O21" s="2">
        <v>460000000000</v>
      </c>
      <c r="P21">
        <f t="shared" si="1"/>
        <v>3.7641154328732744</v>
      </c>
    </row>
    <row r="22" spans="1:16" x14ac:dyDescent="0.2">
      <c r="A22">
        <v>106</v>
      </c>
      <c r="B22">
        <v>25</v>
      </c>
      <c r="C22">
        <v>1764</v>
      </c>
      <c r="D22">
        <v>8700</v>
      </c>
      <c r="E22">
        <f t="shared" si="4"/>
        <v>171</v>
      </c>
      <c r="F22">
        <f t="shared" si="3"/>
        <v>15264</v>
      </c>
      <c r="G22">
        <f t="shared" si="5"/>
        <v>28.5</v>
      </c>
      <c r="H22">
        <f t="shared" si="2"/>
        <v>1.1202830188679245E-2</v>
      </c>
      <c r="I22">
        <f t="shared" si="0"/>
        <v>1.1202830188679245</v>
      </c>
      <c r="J22">
        <v>3960</v>
      </c>
      <c r="K22" s="2">
        <v>400000000000</v>
      </c>
      <c r="L22">
        <v>3050</v>
      </c>
      <c r="M22">
        <v>935</v>
      </c>
      <c r="N22" s="2">
        <v>-16200000000000</v>
      </c>
      <c r="O22" s="2">
        <v>460000000000</v>
      </c>
      <c r="P22">
        <f t="shared" si="1"/>
        <v>3.7641154328732744</v>
      </c>
    </row>
    <row r="23" spans="1:16" x14ac:dyDescent="0.2">
      <c r="A23">
        <v>111</v>
      </c>
      <c r="B23">
        <v>25</v>
      </c>
      <c r="C23">
        <v>1908</v>
      </c>
      <c r="D23">
        <v>8700</v>
      </c>
      <c r="E23">
        <f t="shared" si="4"/>
        <v>144</v>
      </c>
      <c r="F23">
        <f t="shared" si="3"/>
        <v>15984</v>
      </c>
      <c r="G23">
        <f t="shared" si="5"/>
        <v>28.8</v>
      </c>
      <c r="H23">
        <f t="shared" si="2"/>
        <v>9.0090090090090089E-3</v>
      </c>
      <c r="I23">
        <f t="shared" si="0"/>
        <v>0.90090090090090091</v>
      </c>
      <c r="J23">
        <v>3960</v>
      </c>
      <c r="K23" s="2">
        <v>400000000000</v>
      </c>
      <c r="L23">
        <v>3050</v>
      </c>
      <c r="M23">
        <v>935</v>
      </c>
      <c r="N23" s="2">
        <v>-16200000000000</v>
      </c>
      <c r="O23" s="2">
        <v>460000000000</v>
      </c>
      <c r="P23">
        <f t="shared" si="1"/>
        <v>3.7641154328732744</v>
      </c>
    </row>
    <row r="24" spans="1:16" x14ac:dyDescent="0.2">
      <c r="A24">
        <v>116</v>
      </c>
      <c r="B24">
        <v>25</v>
      </c>
      <c r="C24">
        <v>2028</v>
      </c>
      <c r="D24">
        <v>8700</v>
      </c>
      <c r="E24">
        <f t="shared" si="4"/>
        <v>120</v>
      </c>
      <c r="F24">
        <f t="shared" si="3"/>
        <v>16704</v>
      </c>
      <c r="G24">
        <f t="shared" si="5"/>
        <v>24</v>
      </c>
      <c r="H24">
        <f t="shared" si="2"/>
        <v>7.1839080459770114E-3</v>
      </c>
      <c r="I24">
        <f t="shared" si="0"/>
        <v>0.7183908045977011</v>
      </c>
      <c r="J24">
        <v>3960</v>
      </c>
      <c r="K24" s="2">
        <v>400000000000</v>
      </c>
      <c r="L24">
        <v>3050</v>
      </c>
      <c r="M24">
        <v>935</v>
      </c>
      <c r="N24" s="2">
        <v>-16200000000000</v>
      </c>
      <c r="O24" s="2">
        <v>460000000000</v>
      </c>
      <c r="P24">
        <f t="shared" si="1"/>
        <v>3.7641154328732744</v>
      </c>
    </row>
    <row r="25" spans="1:16" x14ac:dyDescent="0.2">
      <c r="A25">
        <v>121</v>
      </c>
      <c r="B25">
        <v>25</v>
      </c>
      <c r="C25">
        <v>2155</v>
      </c>
      <c r="D25">
        <v>8700</v>
      </c>
      <c r="E25">
        <f t="shared" si="4"/>
        <v>127</v>
      </c>
      <c r="F25">
        <f t="shared" si="3"/>
        <v>17424</v>
      </c>
      <c r="G25">
        <f t="shared" si="5"/>
        <v>25.4</v>
      </c>
      <c r="H25">
        <f t="shared" si="2"/>
        <v>7.2887970615243339E-3</v>
      </c>
      <c r="I25">
        <f t="shared" si="0"/>
        <v>0.72887970615243336</v>
      </c>
      <c r="J25">
        <v>3960</v>
      </c>
      <c r="K25" s="2">
        <v>400000000000</v>
      </c>
      <c r="L25">
        <v>3050</v>
      </c>
      <c r="M25">
        <v>935</v>
      </c>
      <c r="N25" s="2">
        <v>-16200000000000</v>
      </c>
      <c r="O25" s="2">
        <v>460000000000</v>
      </c>
      <c r="P25">
        <f t="shared" si="1"/>
        <v>3.7641154328732744</v>
      </c>
    </row>
    <row r="26" spans="1:16" x14ac:dyDescent="0.2">
      <c r="A26">
        <v>125</v>
      </c>
      <c r="B26">
        <v>25</v>
      </c>
      <c r="C26">
        <v>2260</v>
      </c>
      <c r="D26">
        <v>8700</v>
      </c>
      <c r="E26">
        <f t="shared" si="4"/>
        <v>105</v>
      </c>
      <c r="F26">
        <f t="shared" si="3"/>
        <v>18000</v>
      </c>
      <c r="G26">
        <f t="shared" si="5"/>
        <v>26.25</v>
      </c>
      <c r="H26">
        <f t="shared" si="2"/>
        <v>5.8333333333333336E-3</v>
      </c>
      <c r="I26">
        <f t="shared" si="0"/>
        <v>0.58333333333333337</v>
      </c>
      <c r="J26">
        <v>3960</v>
      </c>
      <c r="K26" s="2">
        <v>400000000000</v>
      </c>
      <c r="L26">
        <v>3050</v>
      </c>
      <c r="M26">
        <v>935</v>
      </c>
      <c r="N26" s="2">
        <v>-16200000000000</v>
      </c>
      <c r="O26" s="2">
        <v>460000000000</v>
      </c>
      <c r="P26">
        <f t="shared" si="1"/>
        <v>3.7641154328732744</v>
      </c>
    </row>
    <row r="27" spans="1:16" x14ac:dyDescent="0.2">
      <c r="A27">
        <v>131</v>
      </c>
      <c r="B27">
        <v>25</v>
      </c>
      <c r="C27">
        <v>2402</v>
      </c>
      <c r="D27">
        <v>8700</v>
      </c>
      <c r="E27">
        <f t="shared" si="4"/>
        <v>142</v>
      </c>
      <c r="F27">
        <f t="shared" si="3"/>
        <v>18864</v>
      </c>
      <c r="G27">
        <f t="shared" si="5"/>
        <v>23.666666666666668</v>
      </c>
      <c r="H27">
        <f t="shared" si="2"/>
        <v>7.5275657336726035E-3</v>
      </c>
      <c r="I27">
        <f t="shared" si="0"/>
        <v>0.75275657336726032</v>
      </c>
      <c r="J27">
        <v>3960</v>
      </c>
      <c r="K27" s="2">
        <v>400000000000</v>
      </c>
      <c r="L27">
        <v>3050</v>
      </c>
      <c r="M27">
        <v>935</v>
      </c>
      <c r="N27" s="2">
        <v>-16200000000000</v>
      </c>
      <c r="O27" s="2">
        <v>460000000000</v>
      </c>
      <c r="P27">
        <f t="shared" si="1"/>
        <v>3.7641154328732744</v>
      </c>
    </row>
    <row r="28" spans="1:16" x14ac:dyDescent="0.2">
      <c r="A28">
        <v>136.5</v>
      </c>
      <c r="B28">
        <v>25</v>
      </c>
      <c r="C28">
        <v>2545</v>
      </c>
      <c r="D28">
        <v>8700</v>
      </c>
      <c r="E28">
        <f t="shared" si="4"/>
        <v>143</v>
      </c>
      <c r="F28">
        <f t="shared" si="3"/>
        <v>19656</v>
      </c>
      <c r="G28">
        <f t="shared" si="5"/>
        <v>26</v>
      </c>
      <c r="H28">
        <f t="shared" si="2"/>
        <v>7.2751322751322747E-3</v>
      </c>
      <c r="I28">
        <f t="shared" si="0"/>
        <v>0.72751322751322745</v>
      </c>
      <c r="J28">
        <v>3960</v>
      </c>
      <c r="K28" s="2">
        <v>400000000000</v>
      </c>
      <c r="L28">
        <v>3050</v>
      </c>
      <c r="M28">
        <v>935</v>
      </c>
      <c r="N28" s="2">
        <v>-16200000000000</v>
      </c>
      <c r="O28" s="2">
        <v>460000000000</v>
      </c>
      <c r="P28">
        <f t="shared" si="1"/>
        <v>3.7641154328732744</v>
      </c>
    </row>
    <row r="29" spans="1:16" x14ac:dyDescent="0.2">
      <c r="A29">
        <v>140</v>
      </c>
      <c r="B29">
        <v>25</v>
      </c>
      <c r="C29">
        <v>2638</v>
      </c>
      <c r="D29">
        <v>8700</v>
      </c>
      <c r="E29">
        <f t="shared" si="4"/>
        <v>93</v>
      </c>
      <c r="F29">
        <f t="shared" si="3"/>
        <v>20160</v>
      </c>
      <c r="G29">
        <f t="shared" si="5"/>
        <v>26.571428571428573</v>
      </c>
      <c r="H29">
        <f t="shared" si="2"/>
        <v>4.6130952380952382E-3</v>
      </c>
      <c r="I29">
        <f t="shared" si="0"/>
        <v>0.46130952380952384</v>
      </c>
      <c r="J29">
        <v>3960</v>
      </c>
      <c r="K29" s="2">
        <v>400000000000</v>
      </c>
      <c r="L29">
        <v>3050</v>
      </c>
      <c r="M29">
        <v>935</v>
      </c>
      <c r="N29" s="2">
        <v>-16200000000000</v>
      </c>
      <c r="O29" s="2">
        <v>460000000000</v>
      </c>
      <c r="P29">
        <f t="shared" si="1"/>
        <v>3.7641154328732744</v>
      </c>
    </row>
    <row r="30" spans="1:16" x14ac:dyDescent="0.2">
      <c r="A30">
        <v>143.69999999999999</v>
      </c>
      <c r="B30">
        <v>25</v>
      </c>
      <c r="C30">
        <v>2750</v>
      </c>
      <c r="D30">
        <v>8700</v>
      </c>
      <c r="E30">
        <f t="shared" si="4"/>
        <v>112</v>
      </c>
      <c r="F30">
        <f t="shared" si="3"/>
        <v>20692.8</v>
      </c>
      <c r="G30">
        <f t="shared" si="5"/>
        <v>30.270270270270363</v>
      </c>
      <c r="H30">
        <f t="shared" si="2"/>
        <v>5.4125106317173127E-3</v>
      </c>
      <c r="I30">
        <f t="shared" si="0"/>
        <v>0.54125106317173133</v>
      </c>
      <c r="J30">
        <v>3960</v>
      </c>
      <c r="K30" s="2">
        <v>400000000000</v>
      </c>
      <c r="L30">
        <v>3050</v>
      </c>
      <c r="M30">
        <v>935</v>
      </c>
      <c r="N30" s="2">
        <v>-16200000000000</v>
      </c>
      <c r="O30" s="2">
        <v>460000000000</v>
      </c>
      <c r="P30">
        <f t="shared" si="1"/>
        <v>3.7641154328732744</v>
      </c>
    </row>
    <row r="31" spans="1:16" x14ac:dyDescent="0.2">
      <c r="A31">
        <v>151</v>
      </c>
      <c r="B31">
        <v>25</v>
      </c>
      <c r="C31">
        <v>3000</v>
      </c>
      <c r="D31">
        <f t="shared" ref="D31:D36" si="6">(F31-F30)*(1000/3600)+D30</f>
        <v>8992</v>
      </c>
      <c r="E31">
        <f t="shared" si="4"/>
        <v>250</v>
      </c>
      <c r="F31">
        <f t="shared" si="3"/>
        <v>21744</v>
      </c>
      <c r="G31">
        <f t="shared" si="5"/>
        <v>34.246575342465697</v>
      </c>
      <c r="H31">
        <f t="shared" si="2"/>
        <v>1.1497424576894776E-2</v>
      </c>
      <c r="I31">
        <f t="shared" si="0"/>
        <v>1.1497424576894777</v>
      </c>
      <c r="J31">
        <v>3960</v>
      </c>
      <c r="K31" s="2">
        <v>400000000000</v>
      </c>
      <c r="L31">
        <v>3050</v>
      </c>
      <c r="M31">
        <v>935</v>
      </c>
      <c r="N31" s="2">
        <v>-16200000000000</v>
      </c>
      <c r="O31" s="2">
        <v>460000000000</v>
      </c>
      <c r="P31">
        <f t="shared" si="1"/>
        <v>3.7641154328732744</v>
      </c>
    </row>
    <row r="32" spans="1:16" x14ac:dyDescent="0.2">
      <c r="A32">
        <v>160</v>
      </c>
      <c r="B32">
        <v>25</v>
      </c>
      <c r="C32">
        <v>3434</v>
      </c>
      <c r="D32">
        <f t="shared" si="6"/>
        <v>9352</v>
      </c>
      <c r="E32">
        <f t="shared" si="4"/>
        <v>434</v>
      </c>
      <c r="F32">
        <f t="shared" si="3"/>
        <v>23040</v>
      </c>
      <c r="G32">
        <f t="shared" si="5"/>
        <v>48.222222222222221</v>
      </c>
      <c r="H32">
        <f t="shared" si="2"/>
        <v>1.8836805555555555E-2</v>
      </c>
      <c r="I32">
        <f t="shared" si="0"/>
        <v>1.8836805555555554</v>
      </c>
      <c r="J32">
        <v>3960</v>
      </c>
      <c r="K32" s="2">
        <v>400000000000</v>
      </c>
      <c r="L32">
        <v>3050</v>
      </c>
      <c r="M32">
        <v>935</v>
      </c>
      <c r="N32" s="2">
        <v>-16200000000000</v>
      </c>
      <c r="O32" s="2">
        <v>460000000000</v>
      </c>
      <c r="P32">
        <f t="shared" si="1"/>
        <v>3.7641154328732744</v>
      </c>
    </row>
    <row r="33" spans="1:16" x14ac:dyDescent="0.2">
      <c r="A33">
        <v>161</v>
      </c>
      <c r="B33">
        <v>25</v>
      </c>
      <c r="C33">
        <v>3480</v>
      </c>
      <c r="D33">
        <f t="shared" si="6"/>
        <v>9392</v>
      </c>
      <c r="E33">
        <f t="shared" si="4"/>
        <v>46</v>
      </c>
      <c r="F33">
        <f t="shared" si="3"/>
        <v>23184</v>
      </c>
      <c r="G33">
        <f t="shared" si="5"/>
        <v>46</v>
      </c>
      <c r="H33">
        <f t="shared" si="2"/>
        <v>1.984126984126984E-3</v>
      </c>
      <c r="I33">
        <f t="shared" si="0"/>
        <v>0.1984126984126984</v>
      </c>
      <c r="J33">
        <v>3960</v>
      </c>
      <c r="K33" s="2">
        <v>400000000000</v>
      </c>
      <c r="L33">
        <v>3050</v>
      </c>
      <c r="M33">
        <v>935</v>
      </c>
      <c r="N33" s="2">
        <v>-16200000000000</v>
      </c>
      <c r="O33" s="2">
        <v>460000000000</v>
      </c>
      <c r="P33">
        <f t="shared" si="1"/>
        <v>3.7641154328732744</v>
      </c>
    </row>
    <row r="34" spans="1:16" x14ac:dyDescent="0.2">
      <c r="A34">
        <v>165</v>
      </c>
      <c r="B34">
        <v>25</v>
      </c>
      <c r="C34">
        <v>3864</v>
      </c>
      <c r="D34">
        <f t="shared" si="6"/>
        <v>9552</v>
      </c>
      <c r="E34">
        <f t="shared" si="4"/>
        <v>384</v>
      </c>
      <c r="F34">
        <f t="shared" si="3"/>
        <v>23760</v>
      </c>
      <c r="G34">
        <f t="shared" si="5"/>
        <v>96</v>
      </c>
      <c r="H34">
        <f t="shared" si="2"/>
        <v>1.6161616161616162E-2</v>
      </c>
      <c r="I34">
        <f t="shared" si="0"/>
        <v>1.6161616161616161</v>
      </c>
      <c r="J34">
        <v>3960</v>
      </c>
      <c r="K34" s="2">
        <v>400000000000</v>
      </c>
      <c r="L34">
        <v>3050</v>
      </c>
      <c r="M34">
        <v>935</v>
      </c>
      <c r="N34" s="2">
        <v>-16200000000000</v>
      </c>
      <c r="O34" s="2">
        <v>460000000000</v>
      </c>
      <c r="P34">
        <f t="shared" si="1"/>
        <v>3.7641154328732744</v>
      </c>
    </row>
    <row r="35" spans="1:16" x14ac:dyDescent="0.2">
      <c r="A35">
        <v>168</v>
      </c>
      <c r="B35">
        <v>25</v>
      </c>
      <c r="C35">
        <v>3900</v>
      </c>
      <c r="D35">
        <f t="shared" si="6"/>
        <v>9672</v>
      </c>
      <c r="E35">
        <f t="shared" si="4"/>
        <v>36</v>
      </c>
      <c r="F35">
        <f t="shared" si="3"/>
        <v>24192</v>
      </c>
      <c r="G35">
        <f t="shared" si="5"/>
        <v>12</v>
      </c>
      <c r="H35">
        <f t="shared" si="2"/>
        <v>1.488095238095238E-3</v>
      </c>
      <c r="I35">
        <f t="shared" si="0"/>
        <v>0.14880952380952381</v>
      </c>
      <c r="J35">
        <v>3960</v>
      </c>
      <c r="K35" s="2">
        <v>400000000000</v>
      </c>
      <c r="L35">
        <v>3050</v>
      </c>
      <c r="M35">
        <v>935</v>
      </c>
      <c r="N35" s="2">
        <v>-16200000000000</v>
      </c>
      <c r="O35" s="2">
        <v>460000000000</v>
      </c>
      <c r="P35">
        <f t="shared" si="1"/>
        <v>3.7641154328732744</v>
      </c>
    </row>
    <row r="36" spans="1:16" x14ac:dyDescent="0.2">
      <c r="A36">
        <v>169</v>
      </c>
      <c r="B36">
        <v>25</v>
      </c>
      <c r="C36">
        <v>3917</v>
      </c>
      <c r="D36">
        <f t="shared" si="6"/>
        <v>9712</v>
      </c>
      <c r="E36">
        <f t="shared" si="4"/>
        <v>17</v>
      </c>
      <c r="F36">
        <f t="shared" si="3"/>
        <v>24336</v>
      </c>
      <c r="G36">
        <f t="shared" si="5"/>
        <v>17</v>
      </c>
      <c r="H36">
        <f t="shared" si="2"/>
        <v>6.9855358316896774E-4</v>
      </c>
      <c r="I36">
        <f t="shared" si="0"/>
        <v>6.9855358316896779E-2</v>
      </c>
      <c r="J36">
        <v>3960</v>
      </c>
      <c r="K36" s="2">
        <v>400000000000</v>
      </c>
      <c r="L36">
        <v>3050</v>
      </c>
      <c r="M36">
        <v>935</v>
      </c>
      <c r="N36" s="2">
        <v>-16200000000000</v>
      </c>
      <c r="O36" s="2">
        <v>460000000000</v>
      </c>
      <c r="P36">
        <f t="shared" si="1"/>
        <v>3.7641154328732744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5597-AB8C-4547-893F-19C66E79DB89}">
  <dimension ref="A1:P34"/>
  <sheetViews>
    <sheetView topLeftCell="G1" workbookViewId="0">
      <selection activeCell="I30" sqref="I30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C2">
        <v>-4.3</v>
      </c>
      <c r="D2">
        <v>8720</v>
      </c>
      <c r="E2" cm="1">
        <f t="array" aca="1" ref="E2" ca="1">E2:G297</f>
        <v>0</v>
      </c>
      <c r="F2" cm="1">
        <f t="array" aca="1" ref="F2" ca="1">F2:H317</f>
        <v>0</v>
      </c>
      <c r="G2">
        <v>0</v>
      </c>
      <c r="H2">
        <v>0</v>
      </c>
      <c r="I2">
        <f>H2*100</f>
        <v>0</v>
      </c>
      <c r="J2">
        <v>3560</v>
      </c>
      <c r="K2" s="2">
        <v>200000000000</v>
      </c>
      <c r="L2">
        <v>1558</v>
      </c>
      <c r="M2">
        <v>2010</v>
      </c>
      <c r="N2">
        <f>12500000000000</f>
        <v>12500000000000</v>
      </c>
      <c r="O2" s="2">
        <v>250000000000</v>
      </c>
      <c r="P2">
        <f>(160/3568)*100</f>
        <v>4.4843049327354256</v>
      </c>
    </row>
    <row r="3" spans="1:16" x14ac:dyDescent="0.2">
      <c r="A3">
        <v>5</v>
      </c>
      <c r="B3">
        <v>40</v>
      </c>
      <c r="C3">
        <v>-2.5</v>
      </c>
      <c r="D3">
        <v>8700</v>
      </c>
      <c r="E3">
        <f>C3-C2</f>
        <v>1.7999999999999998</v>
      </c>
      <c r="F3">
        <f>3600/B3*A3</f>
        <v>450</v>
      </c>
      <c r="G3">
        <f>E3/A3</f>
        <v>0.36</v>
      </c>
      <c r="H3">
        <f>E3/(3600/B3*A3)</f>
        <v>3.9999999999999992E-3</v>
      </c>
      <c r="I3">
        <f t="shared" ref="I3:I27" si="0">H3*100</f>
        <v>0.39999999999999991</v>
      </c>
      <c r="J3">
        <v>3560</v>
      </c>
      <c r="K3" s="2">
        <v>200000000000</v>
      </c>
      <c r="L3">
        <v>1558</v>
      </c>
      <c r="M3">
        <v>2010</v>
      </c>
      <c r="N3">
        <f t="shared" ref="N3:N34" si="1">12500000000000</f>
        <v>12500000000000</v>
      </c>
      <c r="O3" s="2">
        <v>250000000001</v>
      </c>
      <c r="P3">
        <f t="shared" ref="P3:P34" si="2">(160/3568)*100</f>
        <v>4.4843049327354256</v>
      </c>
    </row>
    <row r="4" spans="1:16" x14ac:dyDescent="0.2">
      <c r="A4">
        <v>10</v>
      </c>
      <c r="B4">
        <v>40</v>
      </c>
      <c r="C4">
        <v>0.25</v>
      </c>
      <c r="D4">
        <v>8680</v>
      </c>
      <c r="E4">
        <f>C4-C3</f>
        <v>2.75</v>
      </c>
      <c r="F4">
        <f>3600/B4*A4</f>
        <v>900</v>
      </c>
      <c r="G4">
        <f>E4/(A4-A3)</f>
        <v>0.55000000000000004</v>
      </c>
      <c r="H4">
        <f t="shared" ref="H4:H27" si="3">E4/(3600/B4*A4)</f>
        <v>3.0555555555555557E-3</v>
      </c>
      <c r="I4">
        <f t="shared" si="0"/>
        <v>0.30555555555555558</v>
      </c>
      <c r="J4">
        <v>3560</v>
      </c>
      <c r="K4" s="2">
        <v>200000000000</v>
      </c>
      <c r="L4">
        <v>1558</v>
      </c>
      <c r="M4">
        <v>2010</v>
      </c>
      <c r="N4">
        <f t="shared" si="1"/>
        <v>12500000000000</v>
      </c>
      <c r="O4" s="2">
        <v>250000000002</v>
      </c>
      <c r="P4">
        <f t="shared" si="2"/>
        <v>4.4843049327354256</v>
      </c>
    </row>
    <row r="5" spans="1:16" x14ac:dyDescent="0.2">
      <c r="A5">
        <v>15</v>
      </c>
      <c r="B5">
        <v>40</v>
      </c>
      <c r="C5">
        <v>6.15</v>
      </c>
      <c r="D5">
        <v>8660</v>
      </c>
      <c r="E5">
        <f>C5-C4</f>
        <v>5.9</v>
      </c>
      <c r="F5">
        <f t="shared" ref="F5:F27" si="4">3600/B5*A5</f>
        <v>1350</v>
      </c>
      <c r="G5">
        <f>E5/(A5-A4)</f>
        <v>1.1800000000000002</v>
      </c>
      <c r="H5">
        <f t="shared" si="3"/>
        <v>4.3703703703703708E-3</v>
      </c>
      <c r="I5">
        <f t="shared" si="0"/>
        <v>0.43703703703703706</v>
      </c>
      <c r="J5">
        <v>3560</v>
      </c>
      <c r="K5" s="2">
        <v>200000000000</v>
      </c>
      <c r="L5">
        <v>1558</v>
      </c>
      <c r="M5">
        <v>2010</v>
      </c>
      <c r="N5">
        <f t="shared" si="1"/>
        <v>12500000000000</v>
      </c>
      <c r="O5" s="2">
        <v>250000000003</v>
      </c>
      <c r="P5">
        <f t="shared" si="2"/>
        <v>4.4843049327354256</v>
      </c>
    </row>
    <row r="6" spans="1:16" x14ac:dyDescent="0.2">
      <c r="A6">
        <v>20</v>
      </c>
      <c r="B6">
        <v>25</v>
      </c>
      <c r="C6">
        <v>13.33</v>
      </c>
      <c r="D6">
        <v>8640</v>
      </c>
      <c r="E6">
        <f t="shared" ref="E6:E27" si="5">C6-C5</f>
        <v>7.18</v>
      </c>
      <c r="F6">
        <f t="shared" si="4"/>
        <v>2880</v>
      </c>
      <c r="G6">
        <f t="shared" ref="G6:G27" si="6">E6/(A6-A5)</f>
        <v>1.4359999999999999</v>
      </c>
      <c r="H6">
        <f t="shared" si="3"/>
        <v>2.4930555555555556E-3</v>
      </c>
      <c r="I6">
        <f t="shared" si="0"/>
        <v>0.24930555555555556</v>
      </c>
      <c r="J6">
        <v>3560</v>
      </c>
      <c r="K6" s="2">
        <v>200000000000</v>
      </c>
      <c r="L6">
        <v>1558</v>
      </c>
      <c r="M6">
        <v>2010</v>
      </c>
      <c r="N6">
        <f t="shared" si="1"/>
        <v>12500000000000</v>
      </c>
      <c r="O6" s="2">
        <v>250000000004</v>
      </c>
      <c r="P6">
        <f t="shared" si="2"/>
        <v>4.4843049327354256</v>
      </c>
    </row>
    <row r="7" spans="1:16" x14ac:dyDescent="0.2">
      <c r="A7">
        <v>25</v>
      </c>
      <c r="B7">
        <v>25</v>
      </c>
      <c r="C7">
        <v>28</v>
      </c>
      <c r="D7">
        <v>8620</v>
      </c>
      <c r="E7">
        <f t="shared" si="5"/>
        <v>14.67</v>
      </c>
      <c r="F7">
        <f t="shared" si="4"/>
        <v>3600</v>
      </c>
      <c r="G7">
        <f t="shared" si="6"/>
        <v>2.9340000000000002</v>
      </c>
      <c r="H7">
        <f t="shared" si="3"/>
        <v>4.0749999999999996E-3</v>
      </c>
      <c r="I7">
        <f t="shared" si="0"/>
        <v>0.40749999999999997</v>
      </c>
      <c r="J7">
        <v>3560</v>
      </c>
      <c r="K7" s="2">
        <v>200000000000</v>
      </c>
      <c r="L7">
        <v>1558</v>
      </c>
      <c r="M7">
        <v>2010</v>
      </c>
      <c r="N7">
        <f t="shared" si="1"/>
        <v>12500000000000</v>
      </c>
      <c r="O7" s="2">
        <v>250000000005</v>
      </c>
      <c r="P7">
        <f t="shared" si="2"/>
        <v>4.4843049327354256</v>
      </c>
    </row>
    <row r="8" spans="1:16" x14ac:dyDescent="0.2">
      <c r="A8">
        <v>30</v>
      </c>
      <c r="B8">
        <v>25</v>
      </c>
      <c r="C8">
        <v>50</v>
      </c>
      <c r="D8">
        <v>8600</v>
      </c>
      <c r="E8">
        <f t="shared" si="5"/>
        <v>22</v>
      </c>
      <c r="F8">
        <f t="shared" si="4"/>
        <v>4320</v>
      </c>
      <c r="G8">
        <f t="shared" si="6"/>
        <v>4.4000000000000004</v>
      </c>
      <c r="H8">
        <f t="shared" si="3"/>
        <v>5.092592592592593E-3</v>
      </c>
      <c r="I8">
        <f t="shared" si="0"/>
        <v>0.5092592592592593</v>
      </c>
      <c r="J8">
        <v>3560</v>
      </c>
      <c r="K8" s="2">
        <v>200000000000</v>
      </c>
      <c r="L8">
        <v>1558</v>
      </c>
      <c r="M8">
        <v>2010</v>
      </c>
      <c r="N8">
        <f t="shared" si="1"/>
        <v>12500000000000</v>
      </c>
      <c r="O8" s="2">
        <v>250000000006</v>
      </c>
      <c r="P8">
        <f t="shared" si="2"/>
        <v>4.4843049327354256</v>
      </c>
    </row>
    <row r="9" spans="1:16" x14ac:dyDescent="0.2">
      <c r="A9">
        <v>35</v>
      </c>
      <c r="B9">
        <v>25</v>
      </c>
      <c r="C9">
        <v>91.2</v>
      </c>
      <c r="D9">
        <v>8600</v>
      </c>
      <c r="E9">
        <f t="shared" si="5"/>
        <v>41.2</v>
      </c>
      <c r="F9">
        <f t="shared" si="4"/>
        <v>5040</v>
      </c>
      <c r="G9">
        <f t="shared" si="6"/>
        <v>8.24</v>
      </c>
      <c r="H9">
        <f t="shared" si="3"/>
        <v>8.1746031746031747E-3</v>
      </c>
      <c r="I9">
        <f t="shared" si="0"/>
        <v>0.81746031746031744</v>
      </c>
      <c r="J9">
        <v>3560</v>
      </c>
      <c r="K9" s="2">
        <v>200000000000</v>
      </c>
      <c r="L9">
        <v>1558</v>
      </c>
      <c r="M9">
        <v>2010</v>
      </c>
      <c r="N9">
        <f t="shared" si="1"/>
        <v>12500000000000</v>
      </c>
      <c r="O9" s="2">
        <v>250000000007</v>
      </c>
      <c r="P9">
        <f t="shared" si="2"/>
        <v>4.4843049327354256</v>
      </c>
    </row>
    <row r="10" spans="1:16" x14ac:dyDescent="0.2">
      <c r="A10">
        <v>40</v>
      </c>
      <c r="B10">
        <v>25</v>
      </c>
      <c r="C10">
        <v>163.19999999999999</v>
      </c>
      <c r="D10">
        <v>8600</v>
      </c>
      <c r="E10">
        <f t="shared" si="5"/>
        <v>71.999999999999986</v>
      </c>
      <c r="F10">
        <f t="shared" si="4"/>
        <v>5760</v>
      </c>
      <c r="G10">
        <f t="shared" si="6"/>
        <v>14.399999999999997</v>
      </c>
      <c r="H10">
        <f t="shared" si="3"/>
        <v>1.2499999999999997E-2</v>
      </c>
      <c r="I10">
        <f t="shared" si="0"/>
        <v>1.2499999999999998</v>
      </c>
      <c r="J10">
        <v>3560</v>
      </c>
      <c r="K10" s="2">
        <v>200000000000</v>
      </c>
      <c r="L10">
        <v>1558</v>
      </c>
      <c r="M10">
        <v>2010</v>
      </c>
      <c r="N10">
        <f t="shared" si="1"/>
        <v>12500000000000</v>
      </c>
      <c r="O10" s="2">
        <v>250000000008</v>
      </c>
      <c r="P10">
        <f t="shared" si="2"/>
        <v>4.4843049327354256</v>
      </c>
    </row>
    <row r="11" spans="1:16" x14ac:dyDescent="0.2">
      <c r="A11">
        <v>45</v>
      </c>
      <c r="B11">
        <v>25</v>
      </c>
      <c r="C11">
        <v>250</v>
      </c>
      <c r="D11">
        <v>8700</v>
      </c>
      <c r="E11">
        <f t="shared" si="5"/>
        <v>86.800000000000011</v>
      </c>
      <c r="F11">
        <f t="shared" si="4"/>
        <v>6480</v>
      </c>
      <c r="G11">
        <f t="shared" si="6"/>
        <v>17.360000000000003</v>
      </c>
      <c r="H11">
        <f t="shared" si="3"/>
        <v>1.3395061728395063E-2</v>
      </c>
      <c r="I11">
        <f t="shared" si="0"/>
        <v>1.3395061728395063</v>
      </c>
      <c r="J11">
        <v>3560</v>
      </c>
      <c r="K11" s="2">
        <v>200000000000</v>
      </c>
      <c r="L11">
        <v>1558</v>
      </c>
      <c r="M11">
        <v>2010</v>
      </c>
      <c r="N11">
        <f t="shared" si="1"/>
        <v>12500000000000</v>
      </c>
      <c r="O11" s="2">
        <v>250000000009</v>
      </c>
      <c r="P11">
        <f t="shared" si="2"/>
        <v>4.4843049327354256</v>
      </c>
    </row>
    <row r="12" spans="1:16" x14ac:dyDescent="0.2">
      <c r="A12">
        <v>50</v>
      </c>
      <c r="B12">
        <v>25</v>
      </c>
      <c r="C12">
        <v>380</v>
      </c>
      <c r="D12">
        <v>8700</v>
      </c>
      <c r="E12">
        <f t="shared" si="5"/>
        <v>130</v>
      </c>
      <c r="F12">
        <f t="shared" si="4"/>
        <v>7200</v>
      </c>
      <c r="G12">
        <f t="shared" si="6"/>
        <v>26</v>
      </c>
      <c r="H12">
        <f t="shared" si="3"/>
        <v>1.8055555555555554E-2</v>
      </c>
      <c r="I12">
        <f t="shared" si="0"/>
        <v>1.8055555555555554</v>
      </c>
      <c r="J12">
        <v>3560</v>
      </c>
      <c r="K12" s="2">
        <v>200000000000</v>
      </c>
      <c r="L12">
        <v>1558</v>
      </c>
      <c r="M12">
        <v>2010</v>
      </c>
      <c r="N12">
        <f t="shared" si="1"/>
        <v>12500000000000</v>
      </c>
      <c r="O12" s="2">
        <v>250000000010</v>
      </c>
      <c r="P12">
        <f t="shared" si="2"/>
        <v>4.4843049327354256</v>
      </c>
    </row>
    <row r="13" spans="1:16" x14ac:dyDescent="0.2">
      <c r="A13">
        <v>55</v>
      </c>
      <c r="B13">
        <v>25</v>
      </c>
      <c r="C13">
        <v>530</v>
      </c>
      <c r="D13">
        <v>8700</v>
      </c>
      <c r="E13">
        <f t="shared" si="5"/>
        <v>150</v>
      </c>
      <c r="F13">
        <f t="shared" si="4"/>
        <v>7920</v>
      </c>
      <c r="G13">
        <f t="shared" si="6"/>
        <v>30</v>
      </c>
      <c r="H13">
        <f t="shared" si="3"/>
        <v>1.893939393939394E-2</v>
      </c>
      <c r="I13">
        <f t="shared" si="0"/>
        <v>1.893939393939394</v>
      </c>
      <c r="J13">
        <v>3560</v>
      </c>
      <c r="K13" s="2">
        <v>200000000000</v>
      </c>
      <c r="L13">
        <v>1558</v>
      </c>
      <c r="M13">
        <v>2010</v>
      </c>
      <c r="N13">
        <f t="shared" si="1"/>
        <v>12500000000000</v>
      </c>
      <c r="O13" s="2">
        <v>250000000011</v>
      </c>
      <c r="P13">
        <f t="shared" si="2"/>
        <v>4.4843049327354256</v>
      </c>
    </row>
    <row r="14" spans="1:16" x14ac:dyDescent="0.2">
      <c r="A14">
        <v>60</v>
      </c>
      <c r="B14">
        <v>25</v>
      </c>
      <c r="C14">
        <v>703</v>
      </c>
      <c r="D14">
        <v>8700</v>
      </c>
      <c r="E14">
        <f t="shared" si="5"/>
        <v>173</v>
      </c>
      <c r="F14">
        <f t="shared" si="4"/>
        <v>8640</v>
      </c>
      <c r="G14">
        <f t="shared" si="6"/>
        <v>34.6</v>
      </c>
      <c r="H14">
        <f t="shared" si="3"/>
        <v>2.0023148148148148E-2</v>
      </c>
      <c r="I14">
        <f t="shared" si="0"/>
        <v>2.0023148148148149</v>
      </c>
      <c r="J14">
        <v>3560</v>
      </c>
      <c r="K14" s="2">
        <v>200000000000</v>
      </c>
      <c r="L14">
        <v>1558</v>
      </c>
      <c r="M14">
        <v>2010</v>
      </c>
      <c r="N14">
        <f t="shared" si="1"/>
        <v>12500000000000</v>
      </c>
      <c r="O14" s="2">
        <v>250000000012</v>
      </c>
      <c r="P14">
        <f t="shared" si="2"/>
        <v>4.4843049327354256</v>
      </c>
    </row>
    <row r="15" spans="1:16" x14ac:dyDescent="0.2">
      <c r="A15">
        <v>65</v>
      </c>
      <c r="B15">
        <v>25</v>
      </c>
      <c r="C15">
        <v>886</v>
      </c>
      <c r="D15">
        <v>8700</v>
      </c>
      <c r="E15">
        <f t="shared" si="5"/>
        <v>183</v>
      </c>
      <c r="F15">
        <f t="shared" si="4"/>
        <v>9360</v>
      </c>
      <c r="G15">
        <f t="shared" si="6"/>
        <v>36.6</v>
      </c>
      <c r="H15">
        <f t="shared" si="3"/>
        <v>1.9551282051282051E-2</v>
      </c>
      <c r="I15">
        <f t="shared" si="0"/>
        <v>1.9551282051282051</v>
      </c>
      <c r="J15">
        <v>3560</v>
      </c>
      <c r="K15" s="2">
        <v>200000000000</v>
      </c>
      <c r="L15">
        <v>1558</v>
      </c>
      <c r="M15">
        <v>2010</v>
      </c>
      <c r="N15">
        <f t="shared" si="1"/>
        <v>12500000000000</v>
      </c>
      <c r="O15" s="2">
        <v>250000000013</v>
      </c>
      <c r="P15">
        <f t="shared" si="2"/>
        <v>4.4843049327354256</v>
      </c>
    </row>
    <row r="16" spans="1:16" x14ac:dyDescent="0.2">
      <c r="A16">
        <v>70</v>
      </c>
      <c r="B16">
        <v>25</v>
      </c>
      <c r="C16">
        <v>1080</v>
      </c>
      <c r="D16">
        <v>8700</v>
      </c>
      <c r="E16">
        <f t="shared" si="5"/>
        <v>194</v>
      </c>
      <c r="F16">
        <f t="shared" si="4"/>
        <v>10080</v>
      </c>
      <c r="G16">
        <f t="shared" si="6"/>
        <v>38.799999999999997</v>
      </c>
      <c r="H16">
        <f t="shared" si="3"/>
        <v>1.9246031746031747E-2</v>
      </c>
      <c r="I16">
        <f t="shared" si="0"/>
        <v>1.9246031746031746</v>
      </c>
      <c r="J16">
        <v>3560</v>
      </c>
      <c r="K16" s="2">
        <v>200000000000</v>
      </c>
      <c r="L16">
        <v>1558</v>
      </c>
      <c r="M16">
        <v>2010</v>
      </c>
      <c r="N16">
        <f t="shared" si="1"/>
        <v>12500000000000</v>
      </c>
      <c r="O16" s="2">
        <v>250000000014</v>
      </c>
      <c r="P16">
        <f t="shared" si="2"/>
        <v>4.4843049327354256</v>
      </c>
    </row>
    <row r="17" spans="1:16" x14ac:dyDescent="0.2">
      <c r="A17">
        <v>85.5</v>
      </c>
      <c r="B17">
        <v>25</v>
      </c>
      <c r="C17">
        <v>1701</v>
      </c>
      <c r="D17">
        <v>8700</v>
      </c>
      <c r="E17">
        <f t="shared" si="5"/>
        <v>621</v>
      </c>
      <c r="F17">
        <f t="shared" si="4"/>
        <v>12312</v>
      </c>
      <c r="G17">
        <f t="shared" si="6"/>
        <v>40.064516129032256</v>
      </c>
      <c r="H17">
        <f t="shared" si="3"/>
        <v>5.0438596491228067E-2</v>
      </c>
      <c r="I17">
        <f t="shared" si="0"/>
        <v>5.0438596491228065</v>
      </c>
      <c r="J17">
        <v>3560</v>
      </c>
      <c r="K17" s="2">
        <v>200000000000</v>
      </c>
      <c r="L17">
        <v>1558</v>
      </c>
      <c r="M17">
        <v>2010</v>
      </c>
      <c r="N17">
        <f t="shared" si="1"/>
        <v>12500000000000</v>
      </c>
      <c r="O17" s="2">
        <v>250000000015</v>
      </c>
      <c r="P17">
        <f t="shared" si="2"/>
        <v>4.4843049327354256</v>
      </c>
    </row>
    <row r="18" spans="1:16" x14ac:dyDescent="0.2">
      <c r="A18">
        <v>90.5</v>
      </c>
      <c r="B18">
        <v>25</v>
      </c>
      <c r="C18">
        <v>1891</v>
      </c>
      <c r="D18">
        <v>8700</v>
      </c>
      <c r="E18">
        <f t="shared" si="5"/>
        <v>190</v>
      </c>
      <c r="F18">
        <f t="shared" si="4"/>
        <v>13032</v>
      </c>
      <c r="G18">
        <f t="shared" si="6"/>
        <v>38</v>
      </c>
      <c r="H18">
        <f t="shared" si="3"/>
        <v>1.4579496623695518E-2</v>
      </c>
      <c r="I18">
        <f t="shared" si="0"/>
        <v>1.4579496623695518</v>
      </c>
      <c r="J18">
        <v>3560</v>
      </c>
      <c r="K18" s="2">
        <v>200000000000</v>
      </c>
      <c r="L18">
        <v>1558</v>
      </c>
      <c r="M18">
        <v>2010</v>
      </c>
      <c r="N18">
        <f t="shared" si="1"/>
        <v>12500000000000</v>
      </c>
      <c r="O18" s="2">
        <v>250000000016</v>
      </c>
      <c r="P18">
        <f t="shared" si="2"/>
        <v>4.4843049327354256</v>
      </c>
    </row>
    <row r="19" spans="1:16" x14ac:dyDescent="0.2">
      <c r="A19">
        <v>95.5</v>
      </c>
      <c r="B19">
        <v>25</v>
      </c>
      <c r="C19">
        <v>2080</v>
      </c>
      <c r="D19">
        <v>8700</v>
      </c>
      <c r="E19">
        <f t="shared" si="5"/>
        <v>189</v>
      </c>
      <c r="F19">
        <f t="shared" si="4"/>
        <v>13752</v>
      </c>
      <c r="G19">
        <f t="shared" si="6"/>
        <v>37.799999999999997</v>
      </c>
      <c r="H19">
        <f t="shared" si="3"/>
        <v>1.37434554973822E-2</v>
      </c>
      <c r="I19">
        <f t="shared" si="0"/>
        <v>1.37434554973822</v>
      </c>
      <c r="J19">
        <v>3560</v>
      </c>
      <c r="K19" s="2">
        <v>200000000000</v>
      </c>
      <c r="L19">
        <v>1558</v>
      </c>
      <c r="M19">
        <v>2010</v>
      </c>
      <c r="N19">
        <f t="shared" si="1"/>
        <v>12500000000000</v>
      </c>
      <c r="O19" s="2">
        <v>250000000017</v>
      </c>
      <c r="P19">
        <f t="shared" si="2"/>
        <v>4.4843049327354256</v>
      </c>
    </row>
    <row r="20" spans="1:16" x14ac:dyDescent="0.2">
      <c r="A20">
        <v>100</v>
      </c>
      <c r="B20">
        <v>25</v>
      </c>
      <c r="C20">
        <v>2260</v>
      </c>
      <c r="D20">
        <v>8700</v>
      </c>
      <c r="E20">
        <f t="shared" si="5"/>
        <v>180</v>
      </c>
      <c r="F20">
        <f t="shared" si="4"/>
        <v>14400</v>
      </c>
      <c r="G20">
        <f t="shared" si="6"/>
        <v>40</v>
      </c>
      <c r="H20">
        <f t="shared" si="3"/>
        <v>1.2500000000000001E-2</v>
      </c>
      <c r="I20">
        <f t="shared" si="0"/>
        <v>1.25</v>
      </c>
      <c r="J20">
        <v>3560</v>
      </c>
      <c r="K20" s="2">
        <v>200000000000</v>
      </c>
      <c r="L20">
        <v>1558</v>
      </c>
      <c r="M20">
        <v>2010</v>
      </c>
      <c r="N20">
        <f t="shared" si="1"/>
        <v>12500000000000</v>
      </c>
      <c r="O20" s="2">
        <v>250000000018</v>
      </c>
      <c r="P20">
        <f t="shared" si="2"/>
        <v>4.4843049327354256</v>
      </c>
    </row>
    <row r="21" spans="1:16" x14ac:dyDescent="0.2">
      <c r="A21">
        <v>102.2</v>
      </c>
      <c r="B21">
        <v>25</v>
      </c>
      <c r="C21">
        <v>2345</v>
      </c>
      <c r="D21">
        <v>8700</v>
      </c>
      <c r="E21">
        <f t="shared" si="5"/>
        <v>85</v>
      </c>
      <c r="F21">
        <f t="shared" si="4"/>
        <v>14716.800000000001</v>
      </c>
      <c r="G21">
        <f t="shared" si="6"/>
        <v>38.636363636363583</v>
      </c>
      <c r="H21">
        <f t="shared" si="3"/>
        <v>5.7757121113285494E-3</v>
      </c>
      <c r="I21">
        <f t="shared" si="0"/>
        <v>0.57757121113285492</v>
      </c>
      <c r="J21">
        <v>3560</v>
      </c>
      <c r="K21" s="2">
        <v>200000000000</v>
      </c>
      <c r="L21">
        <v>1558</v>
      </c>
      <c r="M21">
        <v>2010</v>
      </c>
      <c r="N21">
        <f t="shared" si="1"/>
        <v>12500000000000</v>
      </c>
      <c r="O21" s="2">
        <v>250000000019</v>
      </c>
      <c r="P21">
        <f t="shared" si="2"/>
        <v>4.4843049327354256</v>
      </c>
    </row>
    <row r="22" spans="1:16" x14ac:dyDescent="0.2">
      <c r="A22">
        <v>107</v>
      </c>
      <c r="B22">
        <v>25</v>
      </c>
      <c r="C22">
        <v>2529</v>
      </c>
      <c r="D22">
        <f t="shared" ref="D22:D27" si="7">(F22-F21)*(1000/3600)+D21</f>
        <v>8892</v>
      </c>
      <c r="E22">
        <f t="shared" si="5"/>
        <v>184</v>
      </c>
      <c r="F22">
        <f t="shared" si="4"/>
        <v>15408</v>
      </c>
      <c r="G22">
        <f t="shared" si="6"/>
        <v>38.333333333333357</v>
      </c>
      <c r="H22">
        <f t="shared" si="3"/>
        <v>1.1941848390446522E-2</v>
      </c>
      <c r="I22">
        <f t="shared" si="0"/>
        <v>1.1941848390446521</v>
      </c>
      <c r="J22">
        <v>3560</v>
      </c>
      <c r="K22" s="2">
        <v>200000000000</v>
      </c>
      <c r="L22">
        <v>1558</v>
      </c>
      <c r="M22">
        <v>2010</v>
      </c>
      <c r="N22">
        <f t="shared" si="1"/>
        <v>12500000000000</v>
      </c>
      <c r="O22" s="2">
        <v>250000000020</v>
      </c>
      <c r="P22">
        <f t="shared" si="2"/>
        <v>4.4843049327354256</v>
      </c>
    </row>
    <row r="23" spans="1:16" x14ac:dyDescent="0.2">
      <c r="A23">
        <v>112</v>
      </c>
      <c r="B23">
        <v>25</v>
      </c>
      <c r="C23">
        <v>2764</v>
      </c>
      <c r="D23">
        <f t="shared" si="7"/>
        <v>9092</v>
      </c>
      <c r="E23">
        <f t="shared" si="5"/>
        <v>235</v>
      </c>
      <c r="F23">
        <f t="shared" si="4"/>
        <v>16128</v>
      </c>
      <c r="G23">
        <f t="shared" si="6"/>
        <v>47</v>
      </c>
      <c r="H23">
        <f t="shared" si="3"/>
        <v>1.457093253968254E-2</v>
      </c>
      <c r="I23">
        <f t="shared" si="0"/>
        <v>1.457093253968254</v>
      </c>
      <c r="J23">
        <v>3560</v>
      </c>
      <c r="K23" s="2">
        <v>200000000000</v>
      </c>
      <c r="L23">
        <v>1558</v>
      </c>
      <c r="M23">
        <v>2010</v>
      </c>
      <c r="N23">
        <f t="shared" si="1"/>
        <v>12500000000000</v>
      </c>
      <c r="O23" s="2">
        <v>250000000021</v>
      </c>
      <c r="P23">
        <f t="shared" si="2"/>
        <v>4.4843049327354256</v>
      </c>
    </row>
    <row r="24" spans="1:16" x14ac:dyDescent="0.2">
      <c r="A24">
        <v>117</v>
      </c>
      <c r="B24">
        <v>25</v>
      </c>
      <c r="C24">
        <v>3015</v>
      </c>
      <c r="D24">
        <f t="shared" si="7"/>
        <v>9292</v>
      </c>
      <c r="E24">
        <f t="shared" si="5"/>
        <v>251</v>
      </c>
      <c r="F24">
        <f t="shared" si="4"/>
        <v>16848</v>
      </c>
      <c r="G24">
        <f t="shared" si="6"/>
        <v>50.2</v>
      </c>
      <c r="H24">
        <f t="shared" si="3"/>
        <v>1.4897910731244064E-2</v>
      </c>
      <c r="I24">
        <f t="shared" si="0"/>
        <v>1.4897910731244064</v>
      </c>
      <c r="J24">
        <v>3560</v>
      </c>
      <c r="K24" s="2">
        <v>200000000000</v>
      </c>
      <c r="L24">
        <v>1558</v>
      </c>
      <c r="M24">
        <v>2010</v>
      </c>
      <c r="N24">
        <f t="shared" si="1"/>
        <v>12500000000000</v>
      </c>
      <c r="O24" s="2">
        <v>250000000022</v>
      </c>
      <c r="P24">
        <f t="shared" si="2"/>
        <v>4.4843049327354256</v>
      </c>
    </row>
    <row r="25" spans="1:16" x14ac:dyDescent="0.2">
      <c r="A25">
        <v>122</v>
      </c>
      <c r="B25">
        <v>25</v>
      </c>
      <c r="C25">
        <v>3434</v>
      </c>
      <c r="D25">
        <f t="shared" si="7"/>
        <v>9492</v>
      </c>
      <c r="E25">
        <f t="shared" si="5"/>
        <v>419</v>
      </c>
      <c r="F25">
        <f t="shared" si="4"/>
        <v>17568</v>
      </c>
      <c r="G25">
        <f t="shared" si="6"/>
        <v>83.8</v>
      </c>
      <c r="H25">
        <f t="shared" si="3"/>
        <v>2.3850182149362478E-2</v>
      </c>
      <c r="I25">
        <f t="shared" si="0"/>
        <v>2.385018214936248</v>
      </c>
      <c r="J25">
        <v>3560</v>
      </c>
      <c r="K25" s="2">
        <v>200000000000</v>
      </c>
      <c r="L25">
        <v>1558</v>
      </c>
      <c r="M25">
        <v>2010</v>
      </c>
      <c r="N25">
        <f t="shared" si="1"/>
        <v>12500000000000</v>
      </c>
      <c r="O25" s="2">
        <v>250000000023</v>
      </c>
      <c r="P25">
        <f t="shared" si="2"/>
        <v>4.4843049327354256</v>
      </c>
    </row>
    <row r="26" spans="1:16" x14ac:dyDescent="0.2">
      <c r="A26">
        <v>125</v>
      </c>
      <c r="B26">
        <v>25</v>
      </c>
      <c r="C26">
        <v>3524</v>
      </c>
      <c r="D26">
        <f t="shared" si="7"/>
        <v>9612</v>
      </c>
      <c r="E26">
        <f t="shared" si="5"/>
        <v>90</v>
      </c>
      <c r="F26">
        <f t="shared" si="4"/>
        <v>18000</v>
      </c>
      <c r="G26">
        <f t="shared" si="6"/>
        <v>30</v>
      </c>
      <c r="H26">
        <f t="shared" si="3"/>
        <v>5.0000000000000001E-3</v>
      </c>
      <c r="I26">
        <f t="shared" si="0"/>
        <v>0.5</v>
      </c>
      <c r="J26">
        <v>3560</v>
      </c>
      <c r="K26" s="2">
        <v>200000000000</v>
      </c>
      <c r="L26">
        <v>1558</v>
      </c>
      <c r="M26">
        <v>2010</v>
      </c>
      <c r="N26">
        <f>12500000000000</f>
        <v>12500000000000</v>
      </c>
      <c r="O26" s="2">
        <v>250000000024</v>
      </c>
      <c r="P26">
        <f>(160/3568)*100</f>
        <v>4.4843049327354256</v>
      </c>
    </row>
    <row r="27" spans="1:16" x14ac:dyDescent="0.2">
      <c r="A27">
        <v>128</v>
      </c>
      <c r="B27">
        <v>25</v>
      </c>
      <c r="C27">
        <v>3551</v>
      </c>
      <c r="D27">
        <f t="shared" si="7"/>
        <v>9732</v>
      </c>
      <c r="E27">
        <f t="shared" si="5"/>
        <v>27</v>
      </c>
      <c r="F27">
        <f t="shared" si="4"/>
        <v>18432</v>
      </c>
      <c r="G27">
        <f t="shared" si="6"/>
        <v>9</v>
      </c>
      <c r="H27">
        <f t="shared" si="3"/>
        <v>1.46484375E-3</v>
      </c>
      <c r="I27">
        <f t="shared" si="0"/>
        <v>0.146484375</v>
      </c>
      <c r="J27">
        <v>3560</v>
      </c>
      <c r="K27" s="2">
        <v>200000000000</v>
      </c>
      <c r="L27">
        <v>1558</v>
      </c>
      <c r="M27">
        <v>2010</v>
      </c>
      <c r="N27">
        <f t="shared" si="1"/>
        <v>12500000000000</v>
      </c>
      <c r="O27" s="2">
        <v>250000000025</v>
      </c>
      <c r="P27">
        <f t="shared" si="2"/>
        <v>4.4843049327354256</v>
      </c>
    </row>
    <row r="28" spans="1:16" x14ac:dyDescent="0.2">
      <c r="K28" s="2"/>
      <c r="O28" s="2"/>
    </row>
    <row r="29" spans="1:16" x14ac:dyDescent="0.2">
      <c r="K29" s="2"/>
      <c r="O29" s="2"/>
    </row>
    <row r="30" spans="1:16" x14ac:dyDescent="0.2">
      <c r="K30" s="2"/>
      <c r="O30" s="2"/>
    </row>
    <row r="31" spans="1:16" x14ac:dyDescent="0.2">
      <c r="K31" s="2"/>
      <c r="O31" s="2"/>
    </row>
    <row r="32" spans="1:16" x14ac:dyDescent="0.2">
      <c r="K32" s="2"/>
      <c r="O32" s="2"/>
    </row>
    <row r="33" spans="11:15" x14ac:dyDescent="0.2">
      <c r="K33" s="2"/>
      <c r="O33" s="2"/>
    </row>
    <row r="34" spans="11:15" x14ac:dyDescent="0.2">
      <c r="K34" s="2"/>
      <c r="O34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97E7-CA8A-6F4A-A18E-2EAE33859CC4}">
  <dimension ref="A1:P37"/>
  <sheetViews>
    <sheetView topLeftCell="I3" workbookViewId="0">
      <selection activeCell="M38" sqref="M38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D2">
        <v>8780</v>
      </c>
      <c r="E2" cm="1">
        <f t="array" aca="1" ref="E2" ca="1">E2:G296</f>
        <v>0</v>
      </c>
      <c r="F2" cm="1">
        <f t="array" aca="1" ref="F2" ca="1">F2:H316</f>
        <v>0</v>
      </c>
      <c r="G2">
        <v>0</v>
      </c>
      <c r="H2">
        <v>0</v>
      </c>
      <c r="I2">
        <f>H2*100</f>
        <v>0</v>
      </c>
      <c r="J2">
        <v>3960</v>
      </c>
      <c r="K2" s="2">
        <v>800000000000</v>
      </c>
      <c r="L2">
        <v>1932</v>
      </c>
      <c r="M2">
        <v>2031</v>
      </c>
      <c r="N2" s="2">
        <v>-30000000000000</v>
      </c>
      <c r="O2" s="2">
        <v>-1200000000000</v>
      </c>
      <c r="P2">
        <f>(160/3963)*100</f>
        <v>4.0373454453696693</v>
      </c>
    </row>
    <row r="3" spans="1:16" x14ac:dyDescent="0.2">
      <c r="A3">
        <v>10</v>
      </c>
      <c r="B3">
        <v>40</v>
      </c>
      <c r="C3">
        <v>-5.33</v>
      </c>
      <c r="D3">
        <v>8780</v>
      </c>
      <c r="E3">
        <f t="shared" ref="E3:E13" si="0">C4-C3</f>
        <v>2.68</v>
      </c>
      <c r="F3">
        <f>3600/B3*A3</f>
        <v>900</v>
      </c>
      <c r="G3">
        <f>E3/A3</f>
        <v>0.26800000000000002</v>
      </c>
      <c r="H3">
        <f>E3/(3600/B3*A3)</f>
        <v>2.977777777777778E-3</v>
      </c>
      <c r="I3">
        <f t="shared" ref="I3:I36" si="1">H3*100</f>
        <v>0.29777777777777781</v>
      </c>
      <c r="J3">
        <v>3960</v>
      </c>
      <c r="K3" s="2">
        <v>800000000000</v>
      </c>
      <c r="L3">
        <v>1932</v>
      </c>
      <c r="M3">
        <v>2031</v>
      </c>
      <c r="N3" s="2">
        <v>-30000000000000</v>
      </c>
      <c r="O3" s="2">
        <v>-1200000000000</v>
      </c>
      <c r="P3">
        <f t="shared" ref="P3:P37" si="2">(160/3963)*100</f>
        <v>4.0373454453696693</v>
      </c>
    </row>
    <row r="4" spans="1:16" x14ac:dyDescent="0.2">
      <c r="A4">
        <v>15</v>
      </c>
      <c r="B4">
        <v>40</v>
      </c>
      <c r="C4">
        <v>-2.65</v>
      </c>
      <c r="D4">
        <v>8780</v>
      </c>
      <c r="E4">
        <f t="shared" si="0"/>
        <v>1.45</v>
      </c>
      <c r="F4">
        <f>3600/B4*A4</f>
        <v>1350</v>
      </c>
      <c r="G4">
        <f>E4/(A4-A3)</f>
        <v>0.28999999999999998</v>
      </c>
      <c r="H4">
        <f t="shared" ref="H4:H36" si="3">E4/(3600/B4*A4)</f>
        <v>1.0740740740740741E-3</v>
      </c>
      <c r="I4">
        <f t="shared" si="1"/>
        <v>0.10740740740740741</v>
      </c>
      <c r="J4">
        <v>3960</v>
      </c>
      <c r="K4" s="2">
        <v>800000000000</v>
      </c>
      <c r="L4">
        <v>1932</v>
      </c>
      <c r="M4">
        <v>2031</v>
      </c>
      <c r="N4" s="2">
        <v>-30000000000000</v>
      </c>
      <c r="O4" s="2">
        <v>-1200000000000</v>
      </c>
      <c r="P4">
        <f t="shared" si="2"/>
        <v>4.0373454453696693</v>
      </c>
    </row>
    <row r="5" spans="1:16" x14ac:dyDescent="0.2">
      <c r="A5">
        <v>20</v>
      </c>
      <c r="B5">
        <v>40</v>
      </c>
      <c r="C5">
        <v>-1.2</v>
      </c>
      <c r="D5">
        <v>8760</v>
      </c>
      <c r="E5">
        <f t="shared" si="0"/>
        <v>1.46</v>
      </c>
      <c r="F5">
        <f t="shared" ref="F5:F36" si="4">3600/B5*A5</f>
        <v>1800</v>
      </c>
      <c r="G5">
        <f>E5/(A5-A4)</f>
        <v>0.29199999999999998</v>
      </c>
      <c r="H5">
        <f t="shared" si="3"/>
        <v>8.1111111111111108E-4</v>
      </c>
      <c r="I5">
        <f t="shared" si="1"/>
        <v>8.1111111111111106E-2</v>
      </c>
      <c r="J5">
        <v>3960</v>
      </c>
      <c r="K5" s="2">
        <v>800000000000</v>
      </c>
      <c r="L5">
        <v>1932</v>
      </c>
      <c r="M5">
        <v>2031</v>
      </c>
      <c r="N5" s="2">
        <v>-30000000000000</v>
      </c>
      <c r="O5" s="2">
        <v>-1200000000000</v>
      </c>
      <c r="P5">
        <f t="shared" si="2"/>
        <v>4.0373454453696693</v>
      </c>
    </row>
    <row r="6" spans="1:16" x14ac:dyDescent="0.2">
      <c r="A6">
        <v>25</v>
      </c>
      <c r="B6">
        <v>25</v>
      </c>
      <c r="C6">
        <v>0.26</v>
      </c>
      <c r="D6">
        <v>8740</v>
      </c>
      <c r="E6">
        <f t="shared" si="0"/>
        <v>2.29</v>
      </c>
      <c r="F6">
        <f t="shared" si="4"/>
        <v>3600</v>
      </c>
      <c r="G6">
        <f t="shared" ref="G6:G36" si="5">E6/(A6-A5)</f>
        <v>0.45800000000000002</v>
      </c>
      <c r="H6">
        <f t="shared" si="3"/>
        <v>6.3611111111111117E-4</v>
      </c>
      <c r="I6">
        <f t="shared" si="1"/>
        <v>6.3611111111111118E-2</v>
      </c>
      <c r="J6">
        <v>3960</v>
      </c>
      <c r="K6" s="2">
        <v>800000000000</v>
      </c>
      <c r="L6">
        <v>1932</v>
      </c>
      <c r="M6">
        <v>2031</v>
      </c>
      <c r="N6" s="2">
        <v>-30000000000000</v>
      </c>
      <c r="O6" s="2">
        <v>-1200000000000</v>
      </c>
      <c r="P6">
        <f t="shared" si="2"/>
        <v>4.0373454453696693</v>
      </c>
    </row>
    <row r="7" spans="1:16" x14ac:dyDescent="0.2">
      <c r="A7">
        <v>30</v>
      </c>
      <c r="B7">
        <v>25</v>
      </c>
      <c r="C7">
        <v>2.5499999999999998</v>
      </c>
      <c r="D7">
        <v>8720</v>
      </c>
      <c r="E7">
        <f t="shared" si="0"/>
        <v>4</v>
      </c>
      <c r="F7">
        <f t="shared" si="4"/>
        <v>4320</v>
      </c>
      <c r="G7">
        <f t="shared" si="5"/>
        <v>0.8</v>
      </c>
      <c r="H7">
        <f t="shared" si="3"/>
        <v>9.2592592592592596E-4</v>
      </c>
      <c r="I7">
        <f t="shared" si="1"/>
        <v>9.2592592592592601E-2</v>
      </c>
      <c r="J7">
        <v>3960</v>
      </c>
      <c r="K7" s="2">
        <v>800000000000</v>
      </c>
      <c r="L7">
        <v>1932</v>
      </c>
      <c r="M7">
        <v>2031</v>
      </c>
      <c r="N7" s="2">
        <v>-30000000000000</v>
      </c>
      <c r="O7" s="2">
        <v>-1200000000000</v>
      </c>
      <c r="P7">
        <f t="shared" si="2"/>
        <v>4.0373454453696693</v>
      </c>
    </row>
    <row r="8" spans="1:16" x14ac:dyDescent="0.2">
      <c r="A8">
        <v>35</v>
      </c>
      <c r="B8">
        <v>25</v>
      </c>
      <c r="C8">
        <v>6.55</v>
      </c>
      <c r="D8">
        <v>8700</v>
      </c>
      <c r="E8">
        <f t="shared" si="0"/>
        <v>6.45</v>
      </c>
      <c r="F8">
        <f t="shared" si="4"/>
        <v>5040</v>
      </c>
      <c r="G8">
        <f t="shared" si="5"/>
        <v>1.29</v>
      </c>
      <c r="H8">
        <f t="shared" si="3"/>
        <v>1.2797619047619049E-3</v>
      </c>
      <c r="I8">
        <f t="shared" si="1"/>
        <v>0.12797619047619049</v>
      </c>
      <c r="J8">
        <v>3960</v>
      </c>
      <c r="K8" s="2">
        <v>800000000000</v>
      </c>
      <c r="L8">
        <v>1932</v>
      </c>
      <c r="M8">
        <v>2031</v>
      </c>
      <c r="N8" s="2">
        <v>-30000000000000</v>
      </c>
      <c r="O8" s="2">
        <v>-1200000000000</v>
      </c>
      <c r="P8">
        <f t="shared" si="2"/>
        <v>4.0373454453696693</v>
      </c>
    </row>
    <row r="9" spans="1:16" x14ac:dyDescent="0.2">
      <c r="A9">
        <v>40</v>
      </c>
      <c r="B9">
        <v>25</v>
      </c>
      <c r="C9">
        <v>13</v>
      </c>
      <c r="D9">
        <v>8680</v>
      </c>
      <c r="E9">
        <f t="shared" si="0"/>
        <v>9.7199999999999989</v>
      </c>
      <c r="F9">
        <f t="shared" si="4"/>
        <v>5760</v>
      </c>
      <c r="G9">
        <f t="shared" si="5"/>
        <v>1.9439999999999997</v>
      </c>
      <c r="H9">
        <f t="shared" si="3"/>
        <v>1.6874999999999998E-3</v>
      </c>
      <c r="I9">
        <f t="shared" si="1"/>
        <v>0.16874999999999998</v>
      </c>
      <c r="J9">
        <v>3960</v>
      </c>
      <c r="K9" s="2">
        <v>800000000000</v>
      </c>
      <c r="L9">
        <v>1932</v>
      </c>
      <c r="M9">
        <v>2031</v>
      </c>
      <c r="N9" s="2">
        <v>-30000000000000</v>
      </c>
      <c r="O9" s="2">
        <v>-1200000000000</v>
      </c>
      <c r="P9">
        <f t="shared" si="2"/>
        <v>4.0373454453696693</v>
      </c>
    </row>
    <row r="10" spans="1:16" x14ac:dyDescent="0.2">
      <c r="A10">
        <v>45</v>
      </c>
      <c r="B10">
        <v>25</v>
      </c>
      <c r="C10">
        <v>22.72</v>
      </c>
      <c r="D10">
        <v>8660</v>
      </c>
      <c r="E10">
        <f t="shared" si="0"/>
        <v>15.420000000000002</v>
      </c>
      <c r="F10">
        <f t="shared" si="4"/>
        <v>6480</v>
      </c>
      <c r="G10">
        <f t="shared" si="5"/>
        <v>3.0840000000000005</v>
      </c>
      <c r="H10">
        <f t="shared" si="3"/>
        <v>2.37962962962963E-3</v>
      </c>
      <c r="I10">
        <f t="shared" si="1"/>
        <v>0.23796296296296299</v>
      </c>
      <c r="J10">
        <v>3960</v>
      </c>
      <c r="K10" s="2">
        <v>800000000000</v>
      </c>
      <c r="L10">
        <v>1932</v>
      </c>
      <c r="M10">
        <v>2031</v>
      </c>
      <c r="N10" s="2">
        <v>-30000000000000</v>
      </c>
      <c r="O10" s="2">
        <v>-1200000000000</v>
      </c>
      <c r="P10">
        <f t="shared" si="2"/>
        <v>4.0373454453696693</v>
      </c>
    </row>
    <row r="11" spans="1:16" x14ac:dyDescent="0.2">
      <c r="A11">
        <v>50</v>
      </c>
      <c r="B11">
        <v>25</v>
      </c>
      <c r="C11">
        <v>38.14</v>
      </c>
      <c r="D11">
        <v>8640</v>
      </c>
      <c r="E11">
        <f t="shared" si="0"/>
        <v>23.96</v>
      </c>
      <c r="F11">
        <f t="shared" si="4"/>
        <v>7200</v>
      </c>
      <c r="G11">
        <f t="shared" si="5"/>
        <v>4.7919999999999998</v>
      </c>
      <c r="H11">
        <f t="shared" si="3"/>
        <v>3.327777777777778E-3</v>
      </c>
      <c r="I11">
        <f t="shared" si="1"/>
        <v>0.33277777777777778</v>
      </c>
      <c r="J11">
        <v>3960</v>
      </c>
      <c r="K11" s="2">
        <v>800000000000</v>
      </c>
      <c r="L11">
        <v>1932</v>
      </c>
      <c r="M11">
        <v>2031</v>
      </c>
      <c r="N11" s="2">
        <v>-30000000000000</v>
      </c>
      <c r="O11" s="2">
        <v>-1200000000000</v>
      </c>
      <c r="P11">
        <f t="shared" si="2"/>
        <v>4.0373454453696693</v>
      </c>
    </row>
    <row r="12" spans="1:16" x14ac:dyDescent="0.2">
      <c r="A12">
        <v>55</v>
      </c>
      <c r="B12">
        <v>25</v>
      </c>
      <c r="C12">
        <v>62.1</v>
      </c>
      <c r="D12">
        <v>8620</v>
      </c>
      <c r="E12">
        <f t="shared" si="0"/>
        <v>36.4</v>
      </c>
      <c r="F12">
        <f t="shared" si="4"/>
        <v>7920</v>
      </c>
      <c r="G12">
        <f t="shared" si="5"/>
        <v>7.2799999999999994</v>
      </c>
      <c r="H12">
        <f t="shared" si="3"/>
        <v>4.5959595959595961E-3</v>
      </c>
      <c r="I12">
        <f t="shared" si="1"/>
        <v>0.45959595959595961</v>
      </c>
      <c r="J12">
        <v>3960</v>
      </c>
      <c r="K12" s="2">
        <v>800000000000</v>
      </c>
      <c r="L12">
        <v>1932</v>
      </c>
      <c r="M12">
        <v>2031</v>
      </c>
      <c r="N12" s="2">
        <v>-30000000000000</v>
      </c>
      <c r="O12" s="2">
        <v>-1200000000000</v>
      </c>
      <c r="P12">
        <f t="shared" si="2"/>
        <v>4.0373454453696693</v>
      </c>
    </row>
    <row r="13" spans="1:16" x14ac:dyDescent="0.2">
      <c r="A13">
        <v>60</v>
      </c>
      <c r="B13">
        <v>25</v>
      </c>
      <c r="C13">
        <v>98.5</v>
      </c>
      <c r="D13">
        <v>8600</v>
      </c>
      <c r="E13">
        <f t="shared" si="0"/>
        <v>132.5</v>
      </c>
      <c r="F13">
        <f t="shared" si="4"/>
        <v>8640</v>
      </c>
      <c r="G13">
        <f t="shared" si="5"/>
        <v>26.5</v>
      </c>
      <c r="H13">
        <f t="shared" si="3"/>
        <v>1.5335648148148149E-2</v>
      </c>
      <c r="I13">
        <f t="shared" si="1"/>
        <v>1.5335648148148149</v>
      </c>
      <c r="J13">
        <v>3960</v>
      </c>
      <c r="K13" s="2">
        <v>800000000000</v>
      </c>
      <c r="L13">
        <v>1932</v>
      </c>
      <c r="M13">
        <v>2031</v>
      </c>
      <c r="N13" s="2">
        <v>-30000000000000</v>
      </c>
      <c r="O13" s="2">
        <v>-1200000000000</v>
      </c>
      <c r="P13">
        <f t="shared" si="2"/>
        <v>4.0373454453696693</v>
      </c>
    </row>
    <row r="14" spans="1:16" x14ac:dyDescent="0.2">
      <c r="A14">
        <v>65</v>
      </c>
      <c r="B14">
        <v>25</v>
      </c>
      <c r="C14">
        <v>231</v>
      </c>
      <c r="D14">
        <v>8600</v>
      </c>
      <c r="E14">
        <f>C15-C14</f>
        <v>102</v>
      </c>
      <c r="F14">
        <f t="shared" si="4"/>
        <v>9360</v>
      </c>
      <c r="G14">
        <f t="shared" si="5"/>
        <v>20.399999999999999</v>
      </c>
      <c r="H14">
        <f t="shared" si="3"/>
        <v>1.0897435897435897E-2</v>
      </c>
      <c r="I14">
        <f t="shared" si="1"/>
        <v>1.0897435897435896</v>
      </c>
      <c r="J14">
        <v>3960</v>
      </c>
      <c r="K14" s="2">
        <v>800000000000</v>
      </c>
      <c r="L14">
        <v>1932</v>
      </c>
      <c r="M14">
        <v>2031</v>
      </c>
      <c r="N14" s="2">
        <v>-30000000000000</v>
      </c>
      <c r="O14" s="2">
        <v>-1200000000000</v>
      </c>
      <c r="P14">
        <f t="shared" si="2"/>
        <v>4.0373454453696693</v>
      </c>
    </row>
    <row r="15" spans="1:16" x14ac:dyDescent="0.2">
      <c r="A15">
        <v>70</v>
      </c>
      <c r="B15">
        <v>25</v>
      </c>
      <c r="C15">
        <v>333</v>
      </c>
      <c r="D15">
        <v>8700</v>
      </c>
      <c r="E15">
        <f>C16-C15</f>
        <v>130</v>
      </c>
      <c r="F15">
        <f t="shared" si="4"/>
        <v>10080</v>
      </c>
      <c r="G15">
        <f t="shared" si="5"/>
        <v>26</v>
      </c>
      <c r="H15">
        <f t="shared" si="3"/>
        <v>1.2896825396825396E-2</v>
      </c>
      <c r="I15">
        <f t="shared" si="1"/>
        <v>1.2896825396825395</v>
      </c>
      <c r="J15">
        <v>3960</v>
      </c>
      <c r="K15" s="2">
        <v>800000000000</v>
      </c>
      <c r="L15">
        <v>1932</v>
      </c>
      <c r="M15">
        <v>2031</v>
      </c>
      <c r="N15" s="2">
        <v>-30000000000000</v>
      </c>
      <c r="O15" s="2">
        <v>-1200000000000</v>
      </c>
      <c r="P15">
        <f t="shared" si="2"/>
        <v>4.0373454453696693</v>
      </c>
    </row>
    <row r="16" spans="1:16" x14ac:dyDescent="0.2">
      <c r="A16">
        <v>75</v>
      </c>
      <c r="B16">
        <v>25</v>
      </c>
      <c r="C16">
        <v>463</v>
      </c>
      <c r="D16">
        <v>8700</v>
      </c>
      <c r="E16">
        <f t="shared" ref="E16:E36" si="6">C16-C15</f>
        <v>130</v>
      </c>
      <c r="F16">
        <f t="shared" si="4"/>
        <v>10800</v>
      </c>
      <c r="G16">
        <f t="shared" si="5"/>
        <v>26</v>
      </c>
      <c r="H16">
        <f t="shared" si="3"/>
        <v>1.2037037037037037E-2</v>
      </c>
      <c r="I16">
        <f t="shared" si="1"/>
        <v>1.2037037037037037</v>
      </c>
      <c r="J16">
        <v>3960</v>
      </c>
      <c r="K16" s="2">
        <v>800000000000</v>
      </c>
      <c r="L16">
        <v>1932</v>
      </c>
      <c r="M16">
        <v>2031</v>
      </c>
      <c r="N16" s="2">
        <v>-30000000000000</v>
      </c>
      <c r="O16" s="2">
        <v>-1200000000000</v>
      </c>
      <c r="P16">
        <f t="shared" si="2"/>
        <v>4.0373454453696693</v>
      </c>
    </row>
    <row r="17" spans="1:16" x14ac:dyDescent="0.2">
      <c r="A17">
        <v>80</v>
      </c>
      <c r="B17">
        <v>25</v>
      </c>
      <c r="C17">
        <v>623</v>
      </c>
      <c r="D17">
        <v>8740</v>
      </c>
      <c r="E17">
        <f t="shared" si="6"/>
        <v>160</v>
      </c>
      <c r="F17">
        <f t="shared" si="4"/>
        <v>11520</v>
      </c>
      <c r="G17">
        <f t="shared" si="5"/>
        <v>32</v>
      </c>
      <c r="H17">
        <f t="shared" si="3"/>
        <v>1.3888888888888888E-2</v>
      </c>
      <c r="I17">
        <f t="shared" si="1"/>
        <v>1.3888888888888888</v>
      </c>
      <c r="J17">
        <v>3960</v>
      </c>
      <c r="K17" s="2">
        <v>800000000000</v>
      </c>
      <c r="L17">
        <v>1932</v>
      </c>
      <c r="M17">
        <v>2031</v>
      </c>
      <c r="N17" s="2">
        <v>-30000000000000</v>
      </c>
      <c r="O17" s="2">
        <v>-1200000000000</v>
      </c>
      <c r="P17">
        <f t="shared" si="2"/>
        <v>4.0373454453696693</v>
      </c>
    </row>
    <row r="18" spans="1:16" x14ac:dyDescent="0.2">
      <c r="A18">
        <v>85</v>
      </c>
      <c r="B18">
        <v>25</v>
      </c>
      <c r="C18">
        <v>873</v>
      </c>
      <c r="D18">
        <v>8740</v>
      </c>
      <c r="E18">
        <f t="shared" si="6"/>
        <v>250</v>
      </c>
      <c r="F18">
        <f t="shared" si="4"/>
        <v>12240</v>
      </c>
      <c r="G18">
        <f t="shared" si="5"/>
        <v>50</v>
      </c>
      <c r="H18">
        <f t="shared" si="3"/>
        <v>2.042483660130719E-2</v>
      </c>
      <c r="I18">
        <f t="shared" si="1"/>
        <v>2.0424836601307188</v>
      </c>
      <c r="J18">
        <v>3960</v>
      </c>
      <c r="K18" s="2">
        <v>800000000000</v>
      </c>
      <c r="L18">
        <v>1932</v>
      </c>
      <c r="M18">
        <v>2031</v>
      </c>
      <c r="N18" s="2">
        <v>-30000000000000</v>
      </c>
      <c r="O18" s="2">
        <v>-1200000000000</v>
      </c>
      <c r="P18">
        <f t="shared" si="2"/>
        <v>4.0373454453696693</v>
      </c>
    </row>
    <row r="19" spans="1:16" x14ac:dyDescent="0.2">
      <c r="A19">
        <v>90</v>
      </c>
      <c r="B19">
        <v>25</v>
      </c>
      <c r="C19">
        <v>933</v>
      </c>
      <c r="D19">
        <v>8740</v>
      </c>
      <c r="E19">
        <f t="shared" si="6"/>
        <v>60</v>
      </c>
      <c r="F19">
        <f t="shared" si="4"/>
        <v>12960</v>
      </c>
      <c r="G19">
        <f t="shared" si="5"/>
        <v>12</v>
      </c>
      <c r="H19">
        <f t="shared" si="3"/>
        <v>4.6296296296296294E-3</v>
      </c>
      <c r="I19">
        <f t="shared" si="1"/>
        <v>0.46296296296296291</v>
      </c>
      <c r="J19">
        <v>3960</v>
      </c>
      <c r="K19" s="2">
        <v>800000000000</v>
      </c>
      <c r="L19">
        <v>1932</v>
      </c>
      <c r="M19">
        <v>2031</v>
      </c>
      <c r="N19" s="2">
        <v>-30000000000000</v>
      </c>
      <c r="O19" s="2">
        <v>-1200000000000</v>
      </c>
      <c r="P19">
        <f t="shared" si="2"/>
        <v>4.0373454453696693</v>
      </c>
    </row>
    <row r="20" spans="1:16" x14ac:dyDescent="0.2">
      <c r="A20">
        <v>95</v>
      </c>
      <c r="B20">
        <v>25</v>
      </c>
      <c r="C20">
        <v>1093</v>
      </c>
      <c r="D20">
        <v>8740</v>
      </c>
      <c r="E20">
        <f t="shared" si="6"/>
        <v>160</v>
      </c>
      <c r="F20">
        <f t="shared" si="4"/>
        <v>13680</v>
      </c>
      <c r="G20">
        <f t="shared" si="5"/>
        <v>32</v>
      </c>
      <c r="H20">
        <f t="shared" si="3"/>
        <v>1.1695906432748537E-2</v>
      </c>
      <c r="I20">
        <f t="shared" si="1"/>
        <v>1.1695906432748537</v>
      </c>
      <c r="J20">
        <v>3960</v>
      </c>
      <c r="K20" s="2">
        <v>800000000000</v>
      </c>
      <c r="L20">
        <v>1932</v>
      </c>
      <c r="M20">
        <v>2031</v>
      </c>
      <c r="N20" s="2">
        <v>-30000000000000</v>
      </c>
      <c r="O20" s="2">
        <v>-1200000000000</v>
      </c>
      <c r="P20">
        <f t="shared" si="2"/>
        <v>4.0373454453696693</v>
      </c>
    </row>
    <row r="21" spans="1:16" x14ac:dyDescent="0.2">
      <c r="A21">
        <v>100</v>
      </c>
      <c r="B21">
        <v>25</v>
      </c>
      <c r="C21">
        <v>1247</v>
      </c>
      <c r="D21">
        <v>8740</v>
      </c>
      <c r="E21">
        <f t="shared" si="6"/>
        <v>154</v>
      </c>
      <c r="F21">
        <f t="shared" si="4"/>
        <v>14400</v>
      </c>
      <c r="G21">
        <f t="shared" si="5"/>
        <v>30.8</v>
      </c>
      <c r="H21">
        <f t="shared" si="3"/>
        <v>1.0694444444444444E-2</v>
      </c>
      <c r="I21">
        <f t="shared" si="1"/>
        <v>1.0694444444444444</v>
      </c>
      <c r="J21">
        <v>3960</v>
      </c>
      <c r="K21" s="2">
        <v>800000000000</v>
      </c>
      <c r="L21">
        <v>1932</v>
      </c>
      <c r="M21">
        <v>2031</v>
      </c>
      <c r="N21" s="2">
        <v>-30000000000000</v>
      </c>
      <c r="O21" s="2">
        <v>-1200000000000</v>
      </c>
      <c r="P21">
        <f t="shared" si="2"/>
        <v>4.0373454453696693</v>
      </c>
    </row>
    <row r="22" spans="1:16" x14ac:dyDescent="0.2">
      <c r="A22">
        <v>105</v>
      </c>
      <c r="B22">
        <v>25</v>
      </c>
      <c r="C22">
        <v>1402</v>
      </c>
      <c r="D22">
        <v>8740</v>
      </c>
      <c r="E22">
        <f t="shared" si="6"/>
        <v>155</v>
      </c>
      <c r="F22">
        <f t="shared" si="4"/>
        <v>15120</v>
      </c>
      <c r="G22">
        <f t="shared" si="5"/>
        <v>31</v>
      </c>
      <c r="H22">
        <f t="shared" si="3"/>
        <v>1.0251322751322751E-2</v>
      </c>
      <c r="I22">
        <f t="shared" si="1"/>
        <v>1.0251322751322751</v>
      </c>
      <c r="J22">
        <v>3960</v>
      </c>
      <c r="K22" s="2">
        <v>800000000000</v>
      </c>
      <c r="L22">
        <v>1932</v>
      </c>
      <c r="M22">
        <v>2031</v>
      </c>
      <c r="N22" s="2">
        <v>-30000000000000</v>
      </c>
      <c r="O22" s="2">
        <v>-1200000000000</v>
      </c>
      <c r="P22">
        <f t="shared" si="2"/>
        <v>4.0373454453696693</v>
      </c>
    </row>
    <row r="23" spans="1:16" x14ac:dyDescent="0.2">
      <c r="A23">
        <v>110</v>
      </c>
      <c r="B23">
        <v>25</v>
      </c>
      <c r="C23">
        <v>1540</v>
      </c>
      <c r="D23">
        <v>8740</v>
      </c>
      <c r="E23">
        <f t="shared" si="6"/>
        <v>138</v>
      </c>
      <c r="F23">
        <f t="shared" si="4"/>
        <v>15840</v>
      </c>
      <c r="G23">
        <f t="shared" si="5"/>
        <v>27.6</v>
      </c>
      <c r="H23">
        <f t="shared" si="3"/>
        <v>8.7121212121212127E-3</v>
      </c>
      <c r="I23">
        <f t="shared" si="1"/>
        <v>0.87121212121212133</v>
      </c>
      <c r="J23">
        <v>3960</v>
      </c>
      <c r="K23" s="2">
        <v>800000000000</v>
      </c>
      <c r="L23">
        <v>1932</v>
      </c>
      <c r="M23">
        <v>2031</v>
      </c>
      <c r="N23" s="2">
        <v>-30000000000000</v>
      </c>
      <c r="O23" s="2">
        <v>-1200000000000</v>
      </c>
      <c r="P23">
        <f t="shared" si="2"/>
        <v>4.0373454453696693</v>
      </c>
    </row>
    <row r="24" spans="1:16" x14ac:dyDescent="0.2">
      <c r="A24">
        <v>115</v>
      </c>
      <c r="B24">
        <v>25</v>
      </c>
      <c r="C24">
        <v>1685</v>
      </c>
      <c r="D24">
        <v>8740</v>
      </c>
      <c r="E24">
        <f t="shared" si="6"/>
        <v>145</v>
      </c>
      <c r="F24">
        <f t="shared" si="4"/>
        <v>16560</v>
      </c>
      <c r="G24">
        <f t="shared" si="5"/>
        <v>29</v>
      </c>
      <c r="H24">
        <f t="shared" si="3"/>
        <v>8.7560386473429959E-3</v>
      </c>
      <c r="I24">
        <f t="shared" si="1"/>
        <v>0.87560386473429963</v>
      </c>
      <c r="J24">
        <v>3960</v>
      </c>
      <c r="K24" s="2">
        <v>800000000000</v>
      </c>
      <c r="L24">
        <v>1932</v>
      </c>
      <c r="M24">
        <v>2031</v>
      </c>
      <c r="N24" s="2">
        <v>-30000000000000</v>
      </c>
      <c r="O24" s="2">
        <v>-1200000000000</v>
      </c>
      <c r="P24">
        <f t="shared" si="2"/>
        <v>4.0373454453696693</v>
      </c>
    </row>
    <row r="25" spans="1:16" x14ac:dyDescent="0.2">
      <c r="A25">
        <v>122</v>
      </c>
      <c r="B25">
        <v>25</v>
      </c>
      <c r="C25">
        <v>1871</v>
      </c>
      <c r="D25">
        <v>8740</v>
      </c>
      <c r="E25">
        <f t="shared" si="6"/>
        <v>186</v>
      </c>
      <c r="F25">
        <f t="shared" si="4"/>
        <v>17568</v>
      </c>
      <c r="G25">
        <f t="shared" si="5"/>
        <v>26.571428571428573</v>
      </c>
      <c r="H25">
        <f t="shared" si="3"/>
        <v>1.0587431693989071E-2</v>
      </c>
      <c r="I25">
        <f t="shared" si="1"/>
        <v>1.0587431693989071</v>
      </c>
      <c r="J25">
        <v>3960</v>
      </c>
      <c r="K25" s="2">
        <v>800000000000</v>
      </c>
      <c r="L25">
        <v>1932</v>
      </c>
      <c r="M25">
        <v>2031</v>
      </c>
      <c r="N25" s="2">
        <v>-30000000000000</v>
      </c>
      <c r="O25" s="2">
        <v>-1200000000000</v>
      </c>
      <c r="P25">
        <f t="shared" si="2"/>
        <v>4.0373454453696693</v>
      </c>
    </row>
    <row r="26" spans="1:16" x14ac:dyDescent="0.2">
      <c r="A26">
        <v>125</v>
      </c>
      <c r="B26">
        <v>25</v>
      </c>
      <c r="C26">
        <v>1946</v>
      </c>
      <c r="D26">
        <v>8740</v>
      </c>
      <c r="E26">
        <f t="shared" si="6"/>
        <v>75</v>
      </c>
      <c r="F26">
        <f t="shared" si="4"/>
        <v>18000</v>
      </c>
      <c r="G26">
        <f t="shared" si="5"/>
        <v>25</v>
      </c>
      <c r="H26">
        <f t="shared" si="3"/>
        <v>4.1666666666666666E-3</v>
      </c>
      <c r="I26">
        <f t="shared" si="1"/>
        <v>0.41666666666666669</v>
      </c>
      <c r="J26">
        <v>3960</v>
      </c>
      <c r="K26" s="2">
        <v>800000000000</v>
      </c>
      <c r="L26">
        <v>1932</v>
      </c>
      <c r="M26">
        <v>2031</v>
      </c>
      <c r="N26" s="2">
        <v>-30000000000000</v>
      </c>
      <c r="O26" s="2">
        <v>-1200000000000</v>
      </c>
      <c r="P26">
        <f t="shared" si="2"/>
        <v>4.0373454453696693</v>
      </c>
    </row>
    <row r="27" spans="1:16" x14ac:dyDescent="0.2">
      <c r="A27">
        <v>130</v>
      </c>
      <c r="B27">
        <v>25</v>
      </c>
      <c r="C27">
        <v>2050</v>
      </c>
      <c r="D27">
        <v>8740</v>
      </c>
      <c r="E27">
        <f t="shared" si="6"/>
        <v>104</v>
      </c>
      <c r="F27">
        <f t="shared" si="4"/>
        <v>18720</v>
      </c>
      <c r="G27">
        <f t="shared" si="5"/>
        <v>20.8</v>
      </c>
      <c r="H27">
        <f t="shared" si="3"/>
        <v>5.5555555555555558E-3</v>
      </c>
      <c r="I27">
        <f t="shared" si="1"/>
        <v>0.55555555555555558</v>
      </c>
      <c r="J27">
        <v>3960</v>
      </c>
      <c r="K27" s="2">
        <v>800000000000</v>
      </c>
      <c r="L27">
        <v>1932</v>
      </c>
      <c r="M27">
        <v>2031</v>
      </c>
      <c r="N27" s="2">
        <v>-30000000000000</v>
      </c>
      <c r="O27" s="2">
        <v>-1200000000000</v>
      </c>
      <c r="P27">
        <f t="shared" si="2"/>
        <v>4.0373454453696693</v>
      </c>
    </row>
    <row r="28" spans="1:16" x14ac:dyDescent="0.2">
      <c r="A28">
        <v>135</v>
      </c>
      <c r="B28">
        <v>25</v>
      </c>
      <c r="C28">
        <v>2176</v>
      </c>
      <c r="D28">
        <v>8740</v>
      </c>
      <c r="E28">
        <f t="shared" si="6"/>
        <v>126</v>
      </c>
      <c r="F28">
        <f t="shared" si="4"/>
        <v>19440</v>
      </c>
      <c r="G28">
        <f t="shared" si="5"/>
        <v>25.2</v>
      </c>
      <c r="H28">
        <f t="shared" si="3"/>
        <v>6.4814814814814813E-3</v>
      </c>
      <c r="I28">
        <f t="shared" si="1"/>
        <v>0.64814814814814814</v>
      </c>
      <c r="J28">
        <v>3960</v>
      </c>
      <c r="K28" s="2">
        <v>800000000000</v>
      </c>
      <c r="L28">
        <v>1932</v>
      </c>
      <c r="M28">
        <v>2031</v>
      </c>
      <c r="N28" s="2">
        <v>-30000000000000</v>
      </c>
      <c r="O28" s="2">
        <v>-1200000000000</v>
      </c>
      <c r="P28">
        <f t="shared" si="2"/>
        <v>4.0373454453696693</v>
      </c>
    </row>
    <row r="29" spans="1:16" x14ac:dyDescent="0.2">
      <c r="A29">
        <v>140</v>
      </c>
      <c r="B29">
        <v>25</v>
      </c>
      <c r="C29">
        <v>2280</v>
      </c>
      <c r="D29">
        <v>8740</v>
      </c>
      <c r="E29">
        <f t="shared" si="6"/>
        <v>104</v>
      </c>
      <c r="F29">
        <f t="shared" si="4"/>
        <v>20160</v>
      </c>
      <c r="G29">
        <f t="shared" si="5"/>
        <v>20.8</v>
      </c>
      <c r="H29">
        <f t="shared" si="3"/>
        <v>5.1587301587301586E-3</v>
      </c>
      <c r="I29">
        <f t="shared" si="1"/>
        <v>0.51587301587301582</v>
      </c>
      <c r="J29">
        <v>3960</v>
      </c>
      <c r="K29" s="2">
        <v>800000000000</v>
      </c>
      <c r="L29">
        <v>1932</v>
      </c>
      <c r="M29">
        <v>2031</v>
      </c>
      <c r="N29" s="2">
        <v>-30000000000000</v>
      </c>
      <c r="O29" s="2">
        <v>-1200000000000</v>
      </c>
      <c r="P29">
        <f t="shared" si="2"/>
        <v>4.0373454453696693</v>
      </c>
    </row>
    <row r="30" spans="1:16" x14ac:dyDescent="0.2">
      <c r="A30">
        <v>145</v>
      </c>
      <c r="B30">
        <v>25</v>
      </c>
      <c r="C30">
        <v>2382</v>
      </c>
      <c r="D30">
        <v>8740</v>
      </c>
      <c r="E30">
        <f t="shared" si="6"/>
        <v>102</v>
      </c>
      <c r="F30">
        <f t="shared" si="4"/>
        <v>20880</v>
      </c>
      <c r="G30">
        <f t="shared" si="5"/>
        <v>20.399999999999999</v>
      </c>
      <c r="H30">
        <f t="shared" si="3"/>
        <v>4.8850574712643677E-3</v>
      </c>
      <c r="I30">
        <f t="shared" si="1"/>
        <v>0.4885057471264368</v>
      </c>
      <c r="J30">
        <v>3960</v>
      </c>
      <c r="K30" s="2">
        <v>800000000000</v>
      </c>
      <c r="L30">
        <v>1932</v>
      </c>
      <c r="M30">
        <v>2031</v>
      </c>
      <c r="N30" s="2">
        <v>-30000000000000</v>
      </c>
      <c r="O30" s="2">
        <v>-1200000000000</v>
      </c>
      <c r="P30">
        <f t="shared" si="2"/>
        <v>4.0373454453696693</v>
      </c>
    </row>
    <row r="31" spans="1:16" x14ac:dyDescent="0.2">
      <c r="A31">
        <v>151</v>
      </c>
      <c r="B31">
        <v>25</v>
      </c>
      <c r="C31">
        <v>2514</v>
      </c>
      <c r="D31">
        <v>8740</v>
      </c>
      <c r="E31">
        <f t="shared" si="6"/>
        <v>132</v>
      </c>
      <c r="F31">
        <f t="shared" si="4"/>
        <v>21744</v>
      </c>
      <c r="G31">
        <f t="shared" si="5"/>
        <v>22</v>
      </c>
      <c r="H31">
        <f t="shared" si="3"/>
        <v>6.0706401766004413E-3</v>
      </c>
      <c r="I31">
        <f t="shared" si="1"/>
        <v>0.60706401766004414</v>
      </c>
      <c r="J31">
        <v>3960</v>
      </c>
      <c r="K31" s="2">
        <v>800000000000</v>
      </c>
      <c r="L31">
        <v>1932</v>
      </c>
      <c r="M31">
        <v>2031</v>
      </c>
      <c r="N31" s="2">
        <v>-30000000000000</v>
      </c>
      <c r="O31" s="2">
        <v>-1200000000000</v>
      </c>
      <c r="P31">
        <f t="shared" si="2"/>
        <v>4.0373454453696693</v>
      </c>
    </row>
    <row r="32" spans="1:16" x14ac:dyDescent="0.2">
      <c r="A32">
        <v>155</v>
      </c>
      <c r="B32">
        <v>25</v>
      </c>
      <c r="C32">
        <v>2619</v>
      </c>
      <c r="D32">
        <v>8740</v>
      </c>
      <c r="E32">
        <f t="shared" si="6"/>
        <v>105</v>
      </c>
      <c r="F32">
        <f t="shared" si="4"/>
        <v>22320</v>
      </c>
      <c r="G32">
        <f t="shared" si="5"/>
        <v>26.25</v>
      </c>
      <c r="H32">
        <f t="shared" si="3"/>
        <v>4.7043010752688174E-3</v>
      </c>
      <c r="I32">
        <f t="shared" si="1"/>
        <v>0.47043010752688175</v>
      </c>
      <c r="J32">
        <v>3960</v>
      </c>
      <c r="K32" s="2">
        <v>800000000000</v>
      </c>
      <c r="L32">
        <v>1932</v>
      </c>
      <c r="M32">
        <v>2031</v>
      </c>
      <c r="N32" s="2">
        <v>-30000000000000</v>
      </c>
      <c r="O32" s="2">
        <v>-1200000000000</v>
      </c>
      <c r="P32">
        <f t="shared" si="2"/>
        <v>4.0373454453696693</v>
      </c>
    </row>
    <row r="33" spans="1:16" x14ac:dyDescent="0.2">
      <c r="A33">
        <v>160</v>
      </c>
      <c r="B33">
        <v>25</v>
      </c>
      <c r="C33">
        <v>2750</v>
      </c>
      <c r="D33">
        <v>8740</v>
      </c>
      <c r="E33">
        <f t="shared" si="6"/>
        <v>131</v>
      </c>
      <c r="F33">
        <f t="shared" si="4"/>
        <v>23040</v>
      </c>
      <c r="G33">
        <f t="shared" si="5"/>
        <v>26.2</v>
      </c>
      <c r="H33">
        <f t="shared" si="3"/>
        <v>5.6857638888888886E-3</v>
      </c>
      <c r="I33">
        <f t="shared" si="1"/>
        <v>0.56857638888888884</v>
      </c>
      <c r="J33">
        <v>3960</v>
      </c>
      <c r="K33" s="2">
        <v>800000000000</v>
      </c>
      <c r="L33">
        <v>1932</v>
      </c>
      <c r="M33">
        <v>2031</v>
      </c>
      <c r="N33" s="2">
        <v>-30000000000000</v>
      </c>
      <c r="O33" s="2">
        <v>-1200000000000</v>
      </c>
      <c r="P33">
        <f t="shared" si="2"/>
        <v>4.0373454453696693</v>
      </c>
    </row>
    <row r="34" spans="1:16" x14ac:dyDescent="0.2">
      <c r="A34">
        <v>175</v>
      </c>
      <c r="B34">
        <v>25</v>
      </c>
      <c r="C34">
        <v>3294</v>
      </c>
      <c r="D34">
        <f>(F34-F33)*(1000/3600)+D33</f>
        <v>9340</v>
      </c>
      <c r="E34">
        <f t="shared" si="6"/>
        <v>544</v>
      </c>
      <c r="F34">
        <f t="shared" si="4"/>
        <v>25200</v>
      </c>
      <c r="G34">
        <f t="shared" si="5"/>
        <v>36.266666666666666</v>
      </c>
      <c r="H34">
        <f t="shared" si="3"/>
        <v>2.1587301587301589E-2</v>
      </c>
      <c r="I34">
        <f t="shared" si="1"/>
        <v>2.1587301587301591</v>
      </c>
      <c r="J34">
        <v>3960</v>
      </c>
      <c r="K34" s="2">
        <v>800000000000</v>
      </c>
      <c r="L34">
        <v>1932</v>
      </c>
      <c r="M34">
        <v>2031</v>
      </c>
      <c r="N34" s="2">
        <v>-30000000000000</v>
      </c>
      <c r="O34" s="2">
        <v>-1200000000000</v>
      </c>
      <c r="P34">
        <f t="shared" si="2"/>
        <v>4.0373454453696693</v>
      </c>
    </row>
    <row r="35" spans="1:16" x14ac:dyDescent="0.2">
      <c r="A35">
        <v>183</v>
      </c>
      <c r="B35">
        <v>25</v>
      </c>
      <c r="C35">
        <v>3920</v>
      </c>
      <c r="D35">
        <f>(F35-F34)*(1000/3600)+D34</f>
        <v>9660</v>
      </c>
      <c r="E35">
        <f t="shared" si="6"/>
        <v>626</v>
      </c>
      <c r="F35">
        <f t="shared" si="4"/>
        <v>26352</v>
      </c>
      <c r="G35">
        <f t="shared" si="5"/>
        <v>78.25</v>
      </c>
      <c r="H35">
        <f t="shared" si="3"/>
        <v>2.3755312689738919E-2</v>
      </c>
      <c r="I35">
        <f t="shared" si="1"/>
        <v>2.3755312689738921</v>
      </c>
      <c r="J35">
        <v>3960</v>
      </c>
      <c r="K35" s="2">
        <v>800000000000</v>
      </c>
      <c r="L35">
        <v>1932</v>
      </c>
      <c r="M35">
        <v>2031</v>
      </c>
      <c r="N35" s="2">
        <v>-30000000000000</v>
      </c>
      <c r="O35" s="2">
        <v>-1200000000000</v>
      </c>
      <c r="P35">
        <f t="shared" si="2"/>
        <v>4.0373454453696693</v>
      </c>
    </row>
    <row r="36" spans="1:16" x14ac:dyDescent="0.2">
      <c r="A36">
        <v>185</v>
      </c>
      <c r="B36">
        <v>25</v>
      </c>
      <c r="C36">
        <v>3935</v>
      </c>
      <c r="D36">
        <f>(F36-F35)*(1000/3600)+D35</f>
        <v>9740</v>
      </c>
      <c r="E36">
        <f t="shared" si="6"/>
        <v>15</v>
      </c>
      <c r="F36">
        <f t="shared" si="4"/>
        <v>26640</v>
      </c>
      <c r="G36">
        <f t="shared" si="5"/>
        <v>7.5</v>
      </c>
      <c r="H36">
        <f t="shared" si="3"/>
        <v>5.6306306306306306E-4</v>
      </c>
      <c r="I36">
        <f t="shared" si="1"/>
        <v>5.6306306306306307E-2</v>
      </c>
      <c r="J36">
        <v>3960</v>
      </c>
      <c r="K36" s="2">
        <v>800000000000</v>
      </c>
      <c r="L36">
        <v>1932</v>
      </c>
      <c r="M36">
        <v>2031</v>
      </c>
      <c r="N36" s="2">
        <v>-30000000000000</v>
      </c>
      <c r="O36" s="2">
        <v>-1200000000000</v>
      </c>
      <c r="P36">
        <f t="shared" si="2"/>
        <v>4.0373454453696693</v>
      </c>
    </row>
    <row r="37" spans="1:16" x14ac:dyDescent="0.2">
      <c r="K37" s="2"/>
      <c r="N37" s="2"/>
      <c r="O37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92FD2-7523-2E48-9EE4-5FE385F3495C}">
  <dimension ref="A1:P32"/>
  <sheetViews>
    <sheetView topLeftCell="L1" workbookViewId="0">
      <selection activeCell="P33" sqref="P33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C2">
        <v>-5.51</v>
      </c>
      <c r="D2">
        <v>8720</v>
      </c>
      <c r="E2" cm="1">
        <f t="array" aca="1" ref="E2" ca="1">E2:G297</f>
        <v>0</v>
      </c>
      <c r="F2" cm="1">
        <f t="array" aca="1" ref="F2" ca="1">F2:H317</f>
        <v>0</v>
      </c>
      <c r="G2">
        <v>0</v>
      </c>
      <c r="H2">
        <v>0</v>
      </c>
      <c r="I2">
        <f>H2*100</f>
        <v>0</v>
      </c>
      <c r="J2">
        <v>3460</v>
      </c>
    </row>
    <row r="3" spans="1:16" x14ac:dyDescent="0.2">
      <c r="A3">
        <v>5</v>
      </c>
      <c r="B3">
        <v>40</v>
      </c>
      <c r="C3">
        <v>-3.6</v>
      </c>
      <c r="D3">
        <v>8700</v>
      </c>
      <c r="E3">
        <f>C3-C2</f>
        <v>1.9099999999999997</v>
      </c>
      <c r="F3">
        <f>3600/B3*A3</f>
        <v>450</v>
      </c>
      <c r="G3">
        <f>E3/A3</f>
        <v>0.38199999999999995</v>
      </c>
      <c r="H3">
        <f>E3/(3600/B3*A3)</f>
        <v>4.2444444444444439E-3</v>
      </c>
      <c r="I3">
        <f t="shared" ref="I3:I30" si="0">H3*100</f>
        <v>0.4244444444444444</v>
      </c>
      <c r="J3">
        <v>3460</v>
      </c>
      <c r="K3" s="2">
        <v>1000000000000</v>
      </c>
      <c r="L3">
        <v>3464</v>
      </c>
      <c r="M3">
        <v>0</v>
      </c>
      <c r="N3" s="2">
        <v>-22400000000000</v>
      </c>
      <c r="O3" s="2">
        <v>2000000000000</v>
      </c>
      <c r="P3">
        <f>(100/3464)*100</f>
        <v>2.8868360277136258</v>
      </c>
    </row>
    <row r="4" spans="1:16" x14ac:dyDescent="0.2">
      <c r="A4">
        <v>10</v>
      </c>
      <c r="B4">
        <v>40</v>
      </c>
      <c r="C4">
        <v>-1.32</v>
      </c>
      <c r="D4">
        <v>8680</v>
      </c>
      <c r="E4">
        <f>C4-C3</f>
        <v>2.2800000000000002</v>
      </c>
      <c r="F4">
        <f>3600/B4*A4</f>
        <v>900</v>
      </c>
      <c r="G4">
        <f>E4/(A4-A3)</f>
        <v>0.45600000000000007</v>
      </c>
      <c r="H4">
        <f t="shared" ref="H4:H30" si="1">E4/(3600/B4*A4)</f>
        <v>2.5333333333333336E-3</v>
      </c>
      <c r="I4">
        <f t="shared" si="0"/>
        <v>0.25333333333333335</v>
      </c>
      <c r="J4">
        <v>3460</v>
      </c>
      <c r="K4" s="2">
        <v>1000000000000</v>
      </c>
      <c r="L4">
        <v>3464</v>
      </c>
      <c r="M4">
        <v>0</v>
      </c>
      <c r="N4" s="2">
        <v>-22400000000000</v>
      </c>
      <c r="O4" s="2">
        <v>2000000000000</v>
      </c>
      <c r="P4">
        <f t="shared" ref="P4:P31" si="2">(100/3464)*100</f>
        <v>2.8868360277136258</v>
      </c>
    </row>
    <row r="5" spans="1:16" x14ac:dyDescent="0.2">
      <c r="A5">
        <v>15</v>
      </c>
      <c r="B5">
        <v>40</v>
      </c>
      <c r="C5">
        <v>2.66</v>
      </c>
      <c r="D5">
        <v>8660</v>
      </c>
      <c r="E5">
        <f>C5-C4</f>
        <v>3.9800000000000004</v>
      </c>
      <c r="F5">
        <f t="shared" ref="F5:F30" si="3">3600/B5*A5</f>
        <v>1350</v>
      </c>
      <c r="G5">
        <f>E5/(A5-A4)</f>
        <v>0.79600000000000004</v>
      </c>
      <c r="H5">
        <f t="shared" si="1"/>
        <v>2.9481481481481485E-3</v>
      </c>
      <c r="I5">
        <f t="shared" si="0"/>
        <v>0.29481481481481486</v>
      </c>
      <c r="J5">
        <v>3460</v>
      </c>
      <c r="K5" s="2">
        <v>1000000000000</v>
      </c>
      <c r="L5">
        <v>3464</v>
      </c>
      <c r="M5">
        <v>0</v>
      </c>
      <c r="N5" s="2">
        <v>-22400000000000</v>
      </c>
      <c r="O5" s="2">
        <v>2000000000000</v>
      </c>
      <c r="P5">
        <f t="shared" si="2"/>
        <v>2.8868360277136258</v>
      </c>
    </row>
    <row r="6" spans="1:16" x14ac:dyDescent="0.2">
      <c r="A6">
        <v>20</v>
      </c>
      <c r="B6">
        <v>25</v>
      </c>
      <c r="C6">
        <v>7.92</v>
      </c>
      <c r="D6">
        <v>8640</v>
      </c>
      <c r="E6">
        <f t="shared" ref="E6:E30" si="4">C6-C5</f>
        <v>5.26</v>
      </c>
      <c r="F6">
        <f t="shared" si="3"/>
        <v>2880</v>
      </c>
      <c r="G6">
        <f t="shared" ref="G6:G30" si="5">E6/(A6-A5)</f>
        <v>1.052</v>
      </c>
      <c r="H6">
        <f t="shared" si="1"/>
        <v>1.8263888888888889E-3</v>
      </c>
      <c r="I6">
        <f t="shared" si="0"/>
        <v>0.18263888888888888</v>
      </c>
      <c r="J6">
        <v>3460</v>
      </c>
      <c r="K6" s="2">
        <v>1000000000000</v>
      </c>
      <c r="L6">
        <v>3464</v>
      </c>
      <c r="M6">
        <v>0</v>
      </c>
      <c r="N6" s="2">
        <v>-22400000000000</v>
      </c>
      <c r="O6" s="2">
        <v>2000000000000</v>
      </c>
      <c r="P6">
        <f t="shared" si="2"/>
        <v>2.8868360277136258</v>
      </c>
    </row>
    <row r="7" spans="1:16" x14ac:dyDescent="0.2">
      <c r="A7">
        <v>25</v>
      </c>
      <c r="B7">
        <v>25</v>
      </c>
      <c r="C7">
        <v>13.98</v>
      </c>
      <c r="D7">
        <v>8620</v>
      </c>
      <c r="E7">
        <f t="shared" si="4"/>
        <v>6.0600000000000005</v>
      </c>
      <c r="F7">
        <f t="shared" si="3"/>
        <v>3600</v>
      </c>
      <c r="G7">
        <f t="shared" si="5"/>
        <v>1.2120000000000002</v>
      </c>
      <c r="H7">
        <f t="shared" si="1"/>
        <v>1.6833333333333336E-3</v>
      </c>
      <c r="I7">
        <f t="shared" si="0"/>
        <v>0.16833333333333336</v>
      </c>
      <c r="J7">
        <v>3460</v>
      </c>
      <c r="K7" s="2">
        <v>1000000000000</v>
      </c>
      <c r="L7">
        <v>3464</v>
      </c>
      <c r="M7">
        <v>0</v>
      </c>
      <c r="N7" s="2">
        <v>-22400000000000</v>
      </c>
      <c r="O7" s="2">
        <v>2000000000000</v>
      </c>
      <c r="P7">
        <f t="shared" si="2"/>
        <v>2.8868360277136258</v>
      </c>
    </row>
    <row r="8" spans="1:16" x14ac:dyDescent="0.2">
      <c r="A8">
        <v>30</v>
      </c>
      <c r="B8">
        <v>25</v>
      </c>
      <c r="C8">
        <v>26.73</v>
      </c>
      <c r="D8">
        <v>8600</v>
      </c>
      <c r="E8">
        <f t="shared" si="4"/>
        <v>12.75</v>
      </c>
      <c r="F8">
        <f t="shared" si="3"/>
        <v>4320</v>
      </c>
      <c r="G8">
        <f t="shared" si="5"/>
        <v>2.5499999999999998</v>
      </c>
      <c r="H8">
        <f t="shared" si="1"/>
        <v>2.9513888888888888E-3</v>
      </c>
      <c r="I8">
        <f t="shared" si="0"/>
        <v>0.2951388888888889</v>
      </c>
      <c r="J8">
        <v>3460</v>
      </c>
      <c r="K8" s="2">
        <v>1000000000000</v>
      </c>
      <c r="L8">
        <v>3464</v>
      </c>
      <c r="M8">
        <v>0</v>
      </c>
      <c r="N8" s="2">
        <v>-22400000000000</v>
      </c>
      <c r="O8" s="2">
        <v>2000000000000</v>
      </c>
      <c r="P8">
        <f t="shared" si="2"/>
        <v>2.8868360277136258</v>
      </c>
    </row>
    <row r="9" spans="1:16" x14ac:dyDescent="0.2">
      <c r="A9">
        <v>35</v>
      </c>
      <c r="B9">
        <v>25</v>
      </c>
      <c r="C9">
        <v>52.38</v>
      </c>
      <c r="D9">
        <v>8600</v>
      </c>
      <c r="E9">
        <f t="shared" si="4"/>
        <v>25.650000000000002</v>
      </c>
      <c r="F9">
        <f t="shared" si="3"/>
        <v>5040</v>
      </c>
      <c r="G9">
        <f t="shared" si="5"/>
        <v>5.1300000000000008</v>
      </c>
      <c r="H9">
        <f t="shared" si="1"/>
        <v>5.0892857142857146E-3</v>
      </c>
      <c r="I9">
        <f t="shared" si="0"/>
        <v>0.50892857142857151</v>
      </c>
      <c r="J9">
        <v>3460</v>
      </c>
      <c r="K9" s="2">
        <v>1000000000000</v>
      </c>
      <c r="L9">
        <v>3464</v>
      </c>
      <c r="M9">
        <v>0</v>
      </c>
      <c r="N9" s="2">
        <v>-22400000000000</v>
      </c>
      <c r="O9" s="2">
        <v>2000000000000</v>
      </c>
      <c r="P9">
        <f t="shared" si="2"/>
        <v>2.8868360277136258</v>
      </c>
    </row>
    <row r="10" spans="1:16" x14ac:dyDescent="0.2">
      <c r="A10">
        <v>40</v>
      </c>
      <c r="B10">
        <v>25</v>
      </c>
      <c r="C10">
        <v>102</v>
      </c>
      <c r="D10">
        <v>8600</v>
      </c>
      <c r="E10">
        <f t="shared" si="4"/>
        <v>49.62</v>
      </c>
      <c r="F10">
        <f t="shared" si="3"/>
        <v>5760</v>
      </c>
      <c r="G10">
        <f t="shared" si="5"/>
        <v>9.9239999999999995</v>
      </c>
      <c r="H10">
        <f t="shared" si="1"/>
        <v>8.6145833333333335E-3</v>
      </c>
      <c r="I10">
        <f t="shared" si="0"/>
        <v>0.86145833333333333</v>
      </c>
      <c r="J10">
        <v>3460</v>
      </c>
      <c r="K10" s="2">
        <v>1000000000000</v>
      </c>
      <c r="L10">
        <v>3464</v>
      </c>
      <c r="M10">
        <v>0</v>
      </c>
      <c r="N10" s="2">
        <v>-22400000000000</v>
      </c>
      <c r="O10" s="2">
        <v>2000000000000</v>
      </c>
      <c r="P10">
        <f t="shared" si="2"/>
        <v>2.8868360277136258</v>
      </c>
    </row>
    <row r="11" spans="1:16" x14ac:dyDescent="0.2">
      <c r="A11">
        <v>45</v>
      </c>
      <c r="B11">
        <v>25</v>
      </c>
      <c r="C11">
        <v>183.5</v>
      </c>
      <c r="D11">
        <v>8600</v>
      </c>
      <c r="E11">
        <f t="shared" si="4"/>
        <v>81.5</v>
      </c>
      <c r="F11">
        <f t="shared" si="3"/>
        <v>6480</v>
      </c>
      <c r="G11">
        <f t="shared" si="5"/>
        <v>16.3</v>
      </c>
      <c r="H11">
        <f t="shared" si="1"/>
        <v>1.257716049382716E-2</v>
      </c>
      <c r="I11">
        <f t="shared" si="0"/>
        <v>1.257716049382716</v>
      </c>
      <c r="J11">
        <v>3460</v>
      </c>
      <c r="K11" s="2">
        <v>1000000000000</v>
      </c>
      <c r="L11">
        <v>3464</v>
      </c>
      <c r="M11">
        <v>0</v>
      </c>
      <c r="N11" s="2">
        <v>-22400000000000</v>
      </c>
      <c r="O11" s="2">
        <v>2000000000000</v>
      </c>
      <c r="P11">
        <f t="shared" si="2"/>
        <v>2.8868360277136258</v>
      </c>
    </row>
    <row r="12" spans="1:16" x14ac:dyDescent="0.2">
      <c r="A12">
        <v>48</v>
      </c>
      <c r="B12">
        <v>25</v>
      </c>
      <c r="C12">
        <v>254</v>
      </c>
      <c r="D12">
        <v>8700</v>
      </c>
      <c r="E12">
        <f t="shared" si="4"/>
        <v>70.5</v>
      </c>
      <c r="F12">
        <f t="shared" si="3"/>
        <v>6912</v>
      </c>
      <c r="G12">
        <f t="shared" si="5"/>
        <v>23.5</v>
      </c>
      <c r="H12">
        <f t="shared" si="1"/>
        <v>1.0199652777777778E-2</v>
      </c>
      <c r="I12">
        <f t="shared" si="0"/>
        <v>1.0199652777777779</v>
      </c>
      <c r="J12">
        <v>3460</v>
      </c>
      <c r="K12" s="2">
        <v>1000000000000</v>
      </c>
      <c r="L12">
        <v>3464</v>
      </c>
      <c r="M12">
        <v>0</v>
      </c>
      <c r="N12" s="2">
        <v>-22400000000000</v>
      </c>
      <c r="O12" s="2">
        <v>2000000000000</v>
      </c>
      <c r="P12">
        <f t="shared" si="2"/>
        <v>2.8868360277136258</v>
      </c>
    </row>
    <row r="13" spans="1:16" x14ac:dyDescent="0.2">
      <c r="A13">
        <v>50</v>
      </c>
      <c r="B13">
        <v>25</v>
      </c>
      <c r="C13">
        <v>313</v>
      </c>
      <c r="D13">
        <v>8700</v>
      </c>
      <c r="E13">
        <f t="shared" si="4"/>
        <v>59</v>
      </c>
      <c r="F13">
        <f t="shared" si="3"/>
        <v>7200</v>
      </c>
      <c r="G13">
        <f t="shared" si="5"/>
        <v>29.5</v>
      </c>
      <c r="H13">
        <f t="shared" si="1"/>
        <v>8.1944444444444452E-3</v>
      </c>
      <c r="I13">
        <f t="shared" si="0"/>
        <v>0.81944444444444453</v>
      </c>
      <c r="J13">
        <v>3460</v>
      </c>
      <c r="K13" s="2">
        <v>1000000000000</v>
      </c>
      <c r="L13">
        <v>3464</v>
      </c>
      <c r="M13">
        <v>0</v>
      </c>
      <c r="N13" s="2">
        <v>-22400000000000</v>
      </c>
      <c r="O13" s="2">
        <v>2000000000000</v>
      </c>
      <c r="P13">
        <f t="shared" si="2"/>
        <v>2.8868360277136258</v>
      </c>
    </row>
    <row r="14" spans="1:16" x14ac:dyDescent="0.2">
      <c r="A14">
        <v>53</v>
      </c>
      <c r="B14">
        <v>25</v>
      </c>
      <c r="C14">
        <v>409</v>
      </c>
      <c r="D14">
        <v>8740</v>
      </c>
      <c r="E14">
        <f t="shared" si="4"/>
        <v>96</v>
      </c>
      <c r="F14">
        <f t="shared" si="3"/>
        <v>7632</v>
      </c>
      <c r="G14">
        <f t="shared" si="5"/>
        <v>32</v>
      </c>
      <c r="H14">
        <f t="shared" si="1"/>
        <v>1.2578616352201259E-2</v>
      </c>
      <c r="I14">
        <f t="shared" si="0"/>
        <v>1.257861635220126</v>
      </c>
      <c r="J14">
        <v>3460</v>
      </c>
      <c r="K14" s="2">
        <v>1000000000000</v>
      </c>
      <c r="L14">
        <v>3464</v>
      </c>
      <c r="M14">
        <v>0</v>
      </c>
      <c r="N14" s="2">
        <v>-22400000000000</v>
      </c>
      <c r="O14" s="2">
        <v>2000000000000</v>
      </c>
      <c r="P14">
        <f t="shared" si="2"/>
        <v>2.8868360277136258</v>
      </c>
    </row>
    <row r="15" spans="1:16" x14ac:dyDescent="0.2">
      <c r="A15">
        <v>55.2</v>
      </c>
      <c r="B15">
        <v>25</v>
      </c>
      <c r="C15">
        <v>482</v>
      </c>
      <c r="D15">
        <v>8740</v>
      </c>
      <c r="E15">
        <f t="shared" si="4"/>
        <v>73</v>
      </c>
      <c r="F15">
        <f t="shared" si="3"/>
        <v>7948.8</v>
      </c>
      <c r="G15">
        <f t="shared" si="5"/>
        <v>33.181818181818137</v>
      </c>
      <c r="H15">
        <f t="shared" si="1"/>
        <v>9.1837761674718188E-3</v>
      </c>
      <c r="I15">
        <f t="shared" si="0"/>
        <v>0.91837761674718188</v>
      </c>
      <c r="J15">
        <v>3460</v>
      </c>
      <c r="K15" s="2">
        <v>1000000000000</v>
      </c>
      <c r="L15">
        <v>3464</v>
      </c>
      <c r="M15">
        <v>0</v>
      </c>
      <c r="N15" s="2">
        <v>-22400000000000</v>
      </c>
      <c r="O15" s="2">
        <v>2000000000000</v>
      </c>
      <c r="P15">
        <f t="shared" si="2"/>
        <v>2.8868360277136258</v>
      </c>
    </row>
    <row r="16" spans="1:16" x14ac:dyDescent="0.2">
      <c r="A16">
        <v>60.2</v>
      </c>
      <c r="B16">
        <v>25</v>
      </c>
      <c r="C16">
        <v>667</v>
      </c>
      <c r="D16">
        <v>8740</v>
      </c>
      <c r="E16">
        <f t="shared" si="4"/>
        <v>185</v>
      </c>
      <c r="F16">
        <f t="shared" si="3"/>
        <v>8668.8000000000011</v>
      </c>
      <c r="G16">
        <f t="shared" si="5"/>
        <v>37</v>
      </c>
      <c r="H16">
        <f t="shared" si="1"/>
        <v>2.1340900701365816E-2</v>
      </c>
      <c r="I16">
        <f t="shared" si="0"/>
        <v>2.1340900701365815</v>
      </c>
      <c r="J16">
        <v>3460</v>
      </c>
      <c r="K16" s="2">
        <v>1000000000000</v>
      </c>
      <c r="L16">
        <v>3464</v>
      </c>
      <c r="M16">
        <v>0</v>
      </c>
      <c r="N16" s="2">
        <v>-22400000000000</v>
      </c>
      <c r="O16" s="2">
        <v>2000000000000</v>
      </c>
      <c r="P16">
        <f t="shared" si="2"/>
        <v>2.8868360277136258</v>
      </c>
    </row>
    <row r="17" spans="1:16" x14ac:dyDescent="0.2">
      <c r="A17">
        <v>65.2</v>
      </c>
      <c r="B17">
        <v>25</v>
      </c>
      <c r="C17">
        <v>861</v>
      </c>
      <c r="D17">
        <v>8740</v>
      </c>
      <c r="E17">
        <f t="shared" si="4"/>
        <v>194</v>
      </c>
      <c r="F17">
        <f t="shared" si="3"/>
        <v>9388.8000000000011</v>
      </c>
      <c r="G17">
        <f t="shared" si="5"/>
        <v>38.799999999999997</v>
      </c>
      <c r="H17">
        <f t="shared" si="1"/>
        <v>2.0662917518745737E-2</v>
      </c>
      <c r="I17">
        <f t="shared" si="0"/>
        <v>2.0662917518745738</v>
      </c>
      <c r="J17">
        <v>3460</v>
      </c>
      <c r="K17" s="2">
        <v>1000000000000</v>
      </c>
      <c r="L17">
        <v>3464</v>
      </c>
      <c r="M17">
        <v>0</v>
      </c>
      <c r="N17" s="2">
        <v>-22400000000000</v>
      </c>
      <c r="O17" s="2">
        <v>2000000000000</v>
      </c>
      <c r="P17">
        <f t="shared" si="2"/>
        <v>2.8868360277136258</v>
      </c>
    </row>
    <row r="18" spans="1:16" x14ac:dyDescent="0.2">
      <c r="A18">
        <v>77</v>
      </c>
      <c r="B18">
        <v>25</v>
      </c>
      <c r="C18">
        <v>1296</v>
      </c>
      <c r="D18">
        <v>8740</v>
      </c>
      <c r="E18">
        <f t="shared" si="4"/>
        <v>435</v>
      </c>
      <c r="F18">
        <f t="shared" si="3"/>
        <v>11088</v>
      </c>
      <c r="G18">
        <f t="shared" si="5"/>
        <v>36.864406779661024</v>
      </c>
      <c r="H18">
        <f t="shared" si="1"/>
        <v>3.9231601731601728E-2</v>
      </c>
      <c r="I18">
        <f t="shared" si="0"/>
        <v>3.9231601731601726</v>
      </c>
      <c r="J18">
        <v>3460</v>
      </c>
      <c r="K18" s="2">
        <v>1000000000000</v>
      </c>
      <c r="L18">
        <v>3464</v>
      </c>
      <c r="M18">
        <v>0</v>
      </c>
      <c r="N18" s="2">
        <v>-22400000000000</v>
      </c>
      <c r="O18" s="2">
        <v>2000000000000</v>
      </c>
      <c r="P18">
        <f t="shared" si="2"/>
        <v>2.8868360277136258</v>
      </c>
    </row>
    <row r="19" spans="1:16" x14ac:dyDescent="0.2">
      <c r="A19">
        <v>90</v>
      </c>
      <c r="B19">
        <v>25</v>
      </c>
      <c r="C19">
        <v>1711</v>
      </c>
      <c r="D19">
        <v>8740</v>
      </c>
      <c r="E19">
        <f t="shared" si="4"/>
        <v>415</v>
      </c>
      <c r="F19">
        <f t="shared" si="3"/>
        <v>12960</v>
      </c>
      <c r="G19">
        <f t="shared" si="5"/>
        <v>31.923076923076923</v>
      </c>
      <c r="H19">
        <f t="shared" si="1"/>
        <v>3.2021604938271608E-2</v>
      </c>
      <c r="I19">
        <f t="shared" si="0"/>
        <v>3.2021604938271606</v>
      </c>
      <c r="J19">
        <v>3460</v>
      </c>
      <c r="K19" s="2">
        <v>1000000000000</v>
      </c>
      <c r="L19">
        <v>3464</v>
      </c>
      <c r="M19">
        <v>0</v>
      </c>
      <c r="N19" s="2">
        <v>-22400000000000</v>
      </c>
      <c r="O19" s="2">
        <v>2000000000000</v>
      </c>
      <c r="P19">
        <f t="shared" si="2"/>
        <v>2.8868360277136258</v>
      </c>
    </row>
    <row r="20" spans="1:16" x14ac:dyDescent="0.2">
      <c r="A20">
        <v>100</v>
      </c>
      <c r="B20">
        <v>25</v>
      </c>
      <c r="C20">
        <v>2020</v>
      </c>
      <c r="D20">
        <v>8740</v>
      </c>
      <c r="E20">
        <f t="shared" si="4"/>
        <v>309</v>
      </c>
      <c r="F20">
        <f t="shared" si="3"/>
        <v>14400</v>
      </c>
      <c r="G20">
        <f t="shared" si="5"/>
        <v>30.9</v>
      </c>
      <c r="H20">
        <f t="shared" si="1"/>
        <v>2.1458333333333333E-2</v>
      </c>
      <c r="I20">
        <f t="shared" si="0"/>
        <v>2.1458333333333335</v>
      </c>
      <c r="J20">
        <v>3460</v>
      </c>
      <c r="K20" s="2">
        <v>1000000000000</v>
      </c>
      <c r="L20">
        <v>3464</v>
      </c>
      <c r="M20">
        <v>0</v>
      </c>
      <c r="N20" s="2">
        <v>-22400000000000</v>
      </c>
      <c r="O20" s="2">
        <v>2000000000000</v>
      </c>
      <c r="P20">
        <f t="shared" si="2"/>
        <v>2.8868360277136258</v>
      </c>
    </row>
    <row r="21" spans="1:16" x14ac:dyDescent="0.2">
      <c r="A21">
        <v>105</v>
      </c>
      <c r="B21">
        <v>25</v>
      </c>
      <c r="C21">
        <v>2160</v>
      </c>
      <c r="D21">
        <v>8740</v>
      </c>
      <c r="E21">
        <f t="shared" si="4"/>
        <v>140</v>
      </c>
      <c r="F21">
        <f t="shared" si="3"/>
        <v>15120</v>
      </c>
      <c r="G21">
        <f t="shared" si="5"/>
        <v>28</v>
      </c>
      <c r="H21">
        <f t="shared" si="1"/>
        <v>9.2592592592592587E-3</v>
      </c>
      <c r="I21">
        <f t="shared" si="0"/>
        <v>0.92592592592592582</v>
      </c>
      <c r="J21">
        <v>3460</v>
      </c>
      <c r="K21" s="2">
        <v>1000000000000</v>
      </c>
      <c r="L21">
        <v>3464</v>
      </c>
      <c r="M21">
        <v>0</v>
      </c>
      <c r="N21" s="2">
        <v>-22400000000000</v>
      </c>
      <c r="O21" s="2">
        <v>2000000000000</v>
      </c>
      <c r="P21">
        <f t="shared" si="2"/>
        <v>2.8868360277136258</v>
      </c>
    </row>
    <row r="22" spans="1:16" x14ac:dyDescent="0.2">
      <c r="A22">
        <v>109.8</v>
      </c>
      <c r="B22">
        <v>25</v>
      </c>
      <c r="C22">
        <v>2300</v>
      </c>
      <c r="D22">
        <v>8740</v>
      </c>
      <c r="E22">
        <f t="shared" si="4"/>
        <v>140</v>
      </c>
      <c r="F22">
        <f t="shared" si="3"/>
        <v>15811.199999999999</v>
      </c>
      <c r="G22">
        <f t="shared" si="5"/>
        <v>29.166666666666686</v>
      </c>
      <c r="H22">
        <f t="shared" si="1"/>
        <v>8.8544828981987466E-3</v>
      </c>
      <c r="I22">
        <f t="shared" si="0"/>
        <v>0.88544828981987467</v>
      </c>
      <c r="J22">
        <v>3460</v>
      </c>
      <c r="K22" s="2">
        <v>1000000000000</v>
      </c>
      <c r="L22">
        <v>3464</v>
      </c>
      <c r="M22">
        <v>0</v>
      </c>
      <c r="N22" s="2">
        <v>-22400000000000</v>
      </c>
      <c r="O22" s="2">
        <v>2000000000000</v>
      </c>
      <c r="P22">
        <f t="shared" si="2"/>
        <v>2.8868360277136258</v>
      </c>
    </row>
    <row r="23" spans="1:16" x14ac:dyDescent="0.2">
      <c r="A23">
        <v>110</v>
      </c>
      <c r="B23">
        <v>25</v>
      </c>
      <c r="C23">
        <v>2307</v>
      </c>
      <c r="D23">
        <f>(F23-F22)*(1000/3600)+D22</f>
        <v>8748</v>
      </c>
      <c r="E23">
        <f t="shared" si="4"/>
        <v>7</v>
      </c>
      <c r="F23">
        <f t="shared" si="3"/>
        <v>15840</v>
      </c>
      <c r="G23">
        <f t="shared" si="5"/>
        <v>34.999999999999503</v>
      </c>
      <c r="H23">
        <f t="shared" si="1"/>
        <v>4.4191919191919195E-4</v>
      </c>
      <c r="I23">
        <f t="shared" si="0"/>
        <v>4.4191919191919192E-2</v>
      </c>
      <c r="J23">
        <v>3460</v>
      </c>
      <c r="K23" s="2">
        <v>1000000000000</v>
      </c>
      <c r="L23">
        <v>3464</v>
      </c>
      <c r="M23">
        <v>0</v>
      </c>
      <c r="N23" s="2">
        <v>-22400000000000</v>
      </c>
      <c r="O23" s="2">
        <v>2000000000000</v>
      </c>
      <c r="P23">
        <f t="shared" si="2"/>
        <v>2.8868360277136258</v>
      </c>
    </row>
    <row r="24" spans="1:16" x14ac:dyDescent="0.2">
      <c r="A24">
        <v>120</v>
      </c>
      <c r="B24">
        <v>25</v>
      </c>
      <c r="C24">
        <v>2655</v>
      </c>
      <c r="D24">
        <f t="shared" ref="D24:D30" si="6">(F24-F23)*(1000/3600)+D23</f>
        <v>9148</v>
      </c>
      <c r="E24">
        <f t="shared" si="4"/>
        <v>348</v>
      </c>
      <c r="F24">
        <f t="shared" si="3"/>
        <v>17280</v>
      </c>
      <c r="G24">
        <f t="shared" si="5"/>
        <v>34.799999999999997</v>
      </c>
      <c r="H24">
        <f t="shared" si="1"/>
        <v>2.013888888888889E-2</v>
      </c>
      <c r="I24">
        <f t="shared" si="0"/>
        <v>2.0138888888888888</v>
      </c>
      <c r="J24">
        <v>3460</v>
      </c>
      <c r="K24" s="2">
        <v>1000000000000</v>
      </c>
      <c r="L24">
        <v>3464</v>
      </c>
      <c r="M24">
        <v>0</v>
      </c>
      <c r="N24" s="2">
        <v>-22400000000000</v>
      </c>
      <c r="O24" s="2">
        <v>2000000000000</v>
      </c>
      <c r="P24">
        <f t="shared" si="2"/>
        <v>2.8868360277136258</v>
      </c>
    </row>
    <row r="25" spans="1:16" x14ac:dyDescent="0.2">
      <c r="A25">
        <v>125</v>
      </c>
      <c r="B25">
        <v>25</v>
      </c>
      <c r="C25">
        <v>2852</v>
      </c>
      <c r="D25">
        <f t="shared" si="6"/>
        <v>9348</v>
      </c>
      <c r="E25">
        <f t="shared" si="4"/>
        <v>197</v>
      </c>
      <c r="F25">
        <f t="shared" si="3"/>
        <v>18000</v>
      </c>
      <c r="G25">
        <f t="shared" si="5"/>
        <v>39.4</v>
      </c>
      <c r="H25">
        <f t="shared" si="1"/>
        <v>1.0944444444444444E-2</v>
      </c>
      <c r="I25">
        <f t="shared" si="0"/>
        <v>1.0944444444444443</v>
      </c>
      <c r="J25">
        <v>3460</v>
      </c>
      <c r="K25" s="2">
        <v>1000000000000</v>
      </c>
      <c r="L25">
        <v>3464</v>
      </c>
      <c r="M25">
        <v>0</v>
      </c>
      <c r="N25" s="2">
        <v>-22400000000000</v>
      </c>
      <c r="O25" s="2">
        <v>2000000000000</v>
      </c>
      <c r="P25">
        <f t="shared" si="2"/>
        <v>2.8868360277136258</v>
      </c>
    </row>
    <row r="26" spans="1:16" x14ac:dyDescent="0.2">
      <c r="A26">
        <v>130</v>
      </c>
      <c r="B26">
        <v>25</v>
      </c>
      <c r="C26">
        <v>3069</v>
      </c>
      <c r="D26">
        <f t="shared" si="6"/>
        <v>9548</v>
      </c>
      <c r="E26">
        <f t="shared" si="4"/>
        <v>217</v>
      </c>
      <c r="F26">
        <f t="shared" si="3"/>
        <v>18720</v>
      </c>
      <c r="G26">
        <f t="shared" si="5"/>
        <v>43.4</v>
      </c>
      <c r="H26">
        <f t="shared" si="1"/>
        <v>1.1591880341880342E-2</v>
      </c>
      <c r="I26">
        <f t="shared" si="0"/>
        <v>1.1591880341880343</v>
      </c>
      <c r="J26">
        <v>3460</v>
      </c>
      <c r="K26" s="2">
        <v>1000000000000</v>
      </c>
      <c r="L26">
        <v>3464</v>
      </c>
      <c r="M26">
        <v>0</v>
      </c>
      <c r="N26" s="2">
        <v>-22400000000000</v>
      </c>
      <c r="O26" s="2">
        <v>2000000000000</v>
      </c>
      <c r="P26">
        <f t="shared" si="2"/>
        <v>2.8868360277136258</v>
      </c>
    </row>
    <row r="27" spans="1:16" x14ac:dyDescent="0.2">
      <c r="A27">
        <v>135</v>
      </c>
      <c r="B27">
        <v>25</v>
      </c>
      <c r="C27">
        <v>3356</v>
      </c>
      <c r="D27">
        <f t="shared" si="6"/>
        <v>9748</v>
      </c>
      <c r="E27">
        <f t="shared" si="4"/>
        <v>287</v>
      </c>
      <c r="F27">
        <f t="shared" si="3"/>
        <v>19440</v>
      </c>
      <c r="G27">
        <f t="shared" si="5"/>
        <v>57.4</v>
      </c>
      <c r="H27">
        <f t="shared" si="1"/>
        <v>1.4763374485596708E-2</v>
      </c>
      <c r="I27">
        <f t="shared" si="0"/>
        <v>1.4763374485596708</v>
      </c>
      <c r="J27">
        <v>3460</v>
      </c>
      <c r="K27" s="2">
        <v>1000000000000</v>
      </c>
      <c r="L27">
        <v>3464</v>
      </c>
      <c r="M27">
        <v>0</v>
      </c>
      <c r="N27" s="2">
        <v>-22400000000000</v>
      </c>
      <c r="O27" s="2">
        <v>2000000000000</v>
      </c>
      <c r="P27">
        <f t="shared" si="2"/>
        <v>2.8868360277136258</v>
      </c>
    </row>
    <row r="28" spans="1:16" x14ac:dyDescent="0.2">
      <c r="A28">
        <v>138</v>
      </c>
      <c r="B28">
        <v>25</v>
      </c>
      <c r="C28">
        <v>3425</v>
      </c>
      <c r="D28">
        <f t="shared" si="6"/>
        <v>9868</v>
      </c>
      <c r="E28">
        <f t="shared" si="4"/>
        <v>69</v>
      </c>
      <c r="F28">
        <f t="shared" si="3"/>
        <v>19872</v>
      </c>
      <c r="G28">
        <f t="shared" si="5"/>
        <v>23</v>
      </c>
      <c r="H28">
        <f t="shared" si="1"/>
        <v>3.472222222222222E-3</v>
      </c>
      <c r="I28">
        <f t="shared" si="0"/>
        <v>0.34722222222222221</v>
      </c>
      <c r="J28">
        <v>3460</v>
      </c>
      <c r="K28" s="2">
        <v>1000000000000</v>
      </c>
      <c r="L28">
        <v>3464</v>
      </c>
      <c r="M28">
        <v>0</v>
      </c>
      <c r="N28" s="2">
        <v>-22400000000000</v>
      </c>
      <c r="O28" s="2">
        <v>2000000000000</v>
      </c>
      <c r="P28">
        <f t="shared" si="2"/>
        <v>2.8868360277136258</v>
      </c>
    </row>
    <row r="29" spans="1:16" x14ac:dyDescent="0.2">
      <c r="A29">
        <v>140</v>
      </c>
      <c r="B29">
        <v>25</v>
      </c>
      <c r="C29">
        <v>3438</v>
      </c>
      <c r="D29">
        <f t="shared" si="6"/>
        <v>9948</v>
      </c>
      <c r="E29">
        <f t="shared" si="4"/>
        <v>13</v>
      </c>
      <c r="F29">
        <f t="shared" si="3"/>
        <v>20160</v>
      </c>
      <c r="G29">
        <f t="shared" si="5"/>
        <v>6.5</v>
      </c>
      <c r="H29">
        <f t="shared" si="1"/>
        <v>6.4484126984126983E-4</v>
      </c>
      <c r="I29">
        <f t="shared" si="0"/>
        <v>6.4484126984126977E-2</v>
      </c>
      <c r="J29">
        <v>3460</v>
      </c>
      <c r="K29" s="2">
        <v>1000000000000</v>
      </c>
      <c r="L29">
        <v>3464</v>
      </c>
      <c r="M29">
        <v>0</v>
      </c>
      <c r="N29" s="2">
        <v>-22400000000000</v>
      </c>
      <c r="O29" s="2">
        <v>2000000000000</v>
      </c>
      <c r="P29">
        <f t="shared" si="2"/>
        <v>2.8868360277136258</v>
      </c>
    </row>
    <row r="30" spans="1:16" x14ac:dyDescent="0.2">
      <c r="A30">
        <v>141</v>
      </c>
      <c r="B30">
        <v>25</v>
      </c>
      <c r="C30">
        <v>3446</v>
      </c>
      <c r="D30">
        <f t="shared" si="6"/>
        <v>9988</v>
      </c>
      <c r="E30">
        <f t="shared" si="4"/>
        <v>8</v>
      </c>
      <c r="F30">
        <f t="shared" si="3"/>
        <v>20304</v>
      </c>
      <c r="G30">
        <f t="shared" si="5"/>
        <v>8</v>
      </c>
      <c r="H30">
        <f t="shared" si="1"/>
        <v>3.9401103230890468E-4</v>
      </c>
      <c r="I30">
        <f t="shared" si="0"/>
        <v>3.9401103230890466E-2</v>
      </c>
      <c r="J30">
        <v>3460</v>
      </c>
      <c r="K30" s="2">
        <v>1000000000000</v>
      </c>
      <c r="L30">
        <v>3464</v>
      </c>
      <c r="M30">
        <v>0</v>
      </c>
      <c r="N30" s="2">
        <v>-22400000000000</v>
      </c>
      <c r="O30" s="2">
        <v>2000000000000</v>
      </c>
      <c r="P30">
        <f t="shared" si="2"/>
        <v>2.8868360277136258</v>
      </c>
    </row>
    <row r="31" spans="1:16" x14ac:dyDescent="0.2">
      <c r="K31" s="2"/>
      <c r="N31" s="2"/>
      <c r="O31" s="2"/>
    </row>
    <row r="32" spans="1:16" x14ac:dyDescent="0.2">
      <c r="K32" s="2"/>
      <c r="N32" s="2"/>
      <c r="O32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5700-1982-D442-BBE7-04FBB8E9760A}">
  <dimension ref="A1:P25"/>
  <sheetViews>
    <sheetView topLeftCell="C1" workbookViewId="0">
      <selection activeCell="J29" sqref="J29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C2">
        <v>-5.61</v>
      </c>
      <c r="D2">
        <v>8840</v>
      </c>
      <c r="E2" cm="1">
        <f t="array" aca="1" ref="E2" ca="1">E2:G295</f>
        <v>0</v>
      </c>
      <c r="F2" cm="1">
        <f t="array" aca="1" ref="F2" ca="1">F2:H315</f>
        <v>0</v>
      </c>
      <c r="G2">
        <v>0</v>
      </c>
      <c r="H2">
        <v>0</v>
      </c>
      <c r="I2">
        <f>H2*100</f>
        <v>0</v>
      </c>
      <c r="J2">
        <v>3550</v>
      </c>
      <c r="K2" s="2">
        <v>200000000000</v>
      </c>
      <c r="L2">
        <v>1147</v>
      </c>
      <c r="M2">
        <v>2091</v>
      </c>
      <c r="N2" s="2">
        <v>-20000000000000</v>
      </c>
      <c r="O2" s="2">
        <v>200000000000</v>
      </c>
      <c r="P2">
        <f>(80/3552)*100</f>
        <v>2.2522522522522523</v>
      </c>
    </row>
    <row r="3" spans="1:16" x14ac:dyDescent="0.2">
      <c r="A3">
        <v>10</v>
      </c>
      <c r="B3">
        <v>25</v>
      </c>
      <c r="C3">
        <v>-4.1100000000000003</v>
      </c>
      <c r="D3">
        <v>8720</v>
      </c>
      <c r="E3">
        <f>C3-C2</f>
        <v>1.5</v>
      </c>
      <c r="F3">
        <f>3600/B3*A3</f>
        <v>1440</v>
      </c>
      <c r="G3">
        <f>E3/A3</f>
        <v>0.15</v>
      </c>
      <c r="H3">
        <f>E3/(3600/B3*A3)</f>
        <v>1.0416666666666667E-3</v>
      </c>
      <c r="I3">
        <f t="shared" ref="I3:I25" si="0">H3*100</f>
        <v>0.10416666666666667</v>
      </c>
      <c r="J3">
        <v>3550</v>
      </c>
      <c r="K3" s="2">
        <v>200000000000</v>
      </c>
      <c r="L3">
        <v>1147</v>
      </c>
      <c r="M3">
        <v>2091</v>
      </c>
      <c r="N3" s="2">
        <v>-20000000000000</v>
      </c>
      <c r="O3" s="2">
        <v>200000000000</v>
      </c>
      <c r="P3">
        <f t="shared" ref="P3:P25" si="1">(80/3552)*100</f>
        <v>2.2522522522522523</v>
      </c>
    </row>
    <row r="4" spans="1:16" x14ac:dyDescent="0.2">
      <c r="A4">
        <v>15</v>
      </c>
      <c r="B4">
        <v>25</v>
      </c>
      <c r="C4">
        <v>-3.18</v>
      </c>
      <c r="D4">
        <v>8700</v>
      </c>
      <c r="E4">
        <f>C4-C3</f>
        <v>0.93000000000000016</v>
      </c>
      <c r="F4">
        <f>3600/B4*A4</f>
        <v>2160</v>
      </c>
      <c r="G4">
        <f>E4/(A4-A3)</f>
        <v>0.18600000000000003</v>
      </c>
      <c r="H4">
        <f t="shared" ref="H4:H25" si="2">E4/(3600/B4*A4)</f>
        <v>4.3055555555555561E-4</v>
      </c>
      <c r="I4">
        <f t="shared" si="0"/>
        <v>4.3055555555555562E-2</v>
      </c>
      <c r="J4">
        <v>3550</v>
      </c>
      <c r="K4" s="2">
        <v>200000000000</v>
      </c>
      <c r="L4">
        <v>1147</v>
      </c>
      <c r="M4">
        <v>2091</v>
      </c>
      <c r="N4" s="2">
        <v>-20000000000000</v>
      </c>
      <c r="O4" s="2">
        <v>200000000000</v>
      </c>
      <c r="P4">
        <f t="shared" si="1"/>
        <v>2.2522522522522523</v>
      </c>
    </row>
    <row r="5" spans="1:16" x14ac:dyDescent="0.2">
      <c r="A5">
        <v>17.5</v>
      </c>
      <c r="B5">
        <v>25</v>
      </c>
      <c r="C5">
        <v>-2.73</v>
      </c>
      <c r="D5">
        <v>8680</v>
      </c>
      <c r="E5">
        <f>C5-C4</f>
        <v>0.45000000000000018</v>
      </c>
      <c r="F5">
        <f t="shared" ref="F5:F25" si="3">3600/B5*A5</f>
        <v>2520</v>
      </c>
      <c r="G5">
        <f>E5/(A5-A4)</f>
        <v>0.18000000000000008</v>
      </c>
      <c r="H5">
        <f t="shared" si="2"/>
        <v>1.7857142857142865E-4</v>
      </c>
      <c r="I5">
        <f t="shared" si="0"/>
        <v>1.7857142857142867E-2</v>
      </c>
      <c r="J5">
        <v>3550</v>
      </c>
      <c r="K5" s="2">
        <v>200000000000</v>
      </c>
      <c r="L5">
        <v>1147</v>
      </c>
      <c r="M5">
        <v>2091</v>
      </c>
      <c r="N5" s="2">
        <v>-20000000000000</v>
      </c>
      <c r="O5" s="2">
        <v>200000000000</v>
      </c>
      <c r="P5">
        <f t="shared" si="1"/>
        <v>2.2522522522522523</v>
      </c>
    </row>
    <row r="6" spans="1:16" x14ac:dyDescent="0.2">
      <c r="A6">
        <v>20</v>
      </c>
      <c r="B6">
        <v>25</v>
      </c>
      <c r="C6">
        <v>-2.2999999999999998</v>
      </c>
      <c r="D6">
        <v>8660</v>
      </c>
      <c r="E6">
        <f t="shared" ref="E6:E25" si="4">C6-C5</f>
        <v>0.43000000000000016</v>
      </c>
      <c r="F6">
        <f t="shared" si="3"/>
        <v>2880</v>
      </c>
      <c r="G6">
        <f t="shared" ref="G6:G25" si="5">E6/(A6-A5)</f>
        <v>0.17200000000000007</v>
      </c>
      <c r="H6">
        <f t="shared" si="2"/>
        <v>1.493055555555556E-4</v>
      </c>
      <c r="I6">
        <f t="shared" si="0"/>
        <v>1.493055555555556E-2</v>
      </c>
      <c r="J6">
        <v>3550</v>
      </c>
      <c r="K6" s="2">
        <v>200000000000</v>
      </c>
      <c r="L6">
        <v>1147</v>
      </c>
      <c r="M6">
        <v>2091</v>
      </c>
      <c r="N6" s="2">
        <v>-20000000000000</v>
      </c>
      <c r="O6" s="2">
        <v>200000000000</v>
      </c>
      <c r="P6">
        <f t="shared" si="1"/>
        <v>2.2522522522522523</v>
      </c>
    </row>
    <row r="7" spans="1:16" x14ac:dyDescent="0.2">
      <c r="A7">
        <v>25</v>
      </c>
      <c r="B7">
        <v>25</v>
      </c>
      <c r="C7">
        <v>-0.8</v>
      </c>
      <c r="D7">
        <v>8640</v>
      </c>
      <c r="E7">
        <f t="shared" si="4"/>
        <v>1.4999999999999998</v>
      </c>
      <c r="F7">
        <f t="shared" si="3"/>
        <v>3600</v>
      </c>
      <c r="G7">
        <f t="shared" si="5"/>
        <v>0.29999999999999993</v>
      </c>
      <c r="H7">
        <f t="shared" si="2"/>
        <v>4.1666666666666658E-4</v>
      </c>
      <c r="I7">
        <f t="shared" si="0"/>
        <v>4.1666666666666657E-2</v>
      </c>
      <c r="J7">
        <v>3550</v>
      </c>
      <c r="K7" s="2">
        <v>200000000000</v>
      </c>
      <c r="L7">
        <v>1147</v>
      </c>
      <c r="M7">
        <v>2091</v>
      </c>
      <c r="N7" s="2">
        <v>-20000000000000</v>
      </c>
      <c r="O7" s="2">
        <v>200000000000</v>
      </c>
      <c r="P7">
        <f t="shared" si="1"/>
        <v>2.2522522522522523</v>
      </c>
    </row>
    <row r="8" spans="1:16" x14ac:dyDescent="0.2">
      <c r="A8">
        <v>30</v>
      </c>
      <c r="B8">
        <v>25</v>
      </c>
      <c r="C8">
        <v>0.7</v>
      </c>
      <c r="D8">
        <v>8620</v>
      </c>
      <c r="E8">
        <f t="shared" si="4"/>
        <v>1.5</v>
      </c>
      <c r="F8">
        <f t="shared" si="3"/>
        <v>4320</v>
      </c>
      <c r="G8">
        <f t="shared" si="5"/>
        <v>0.3</v>
      </c>
      <c r="H8">
        <f t="shared" si="2"/>
        <v>3.4722222222222224E-4</v>
      </c>
      <c r="I8">
        <f t="shared" si="0"/>
        <v>3.4722222222222224E-2</v>
      </c>
      <c r="J8">
        <v>3550</v>
      </c>
      <c r="K8" s="2">
        <v>200000000000</v>
      </c>
      <c r="L8">
        <v>1147</v>
      </c>
      <c r="M8">
        <v>2091</v>
      </c>
      <c r="N8" s="2">
        <v>-20000000000000</v>
      </c>
      <c r="O8" s="2">
        <v>200000000000</v>
      </c>
      <c r="P8">
        <f t="shared" si="1"/>
        <v>2.2522522522522523</v>
      </c>
    </row>
    <row r="9" spans="1:16" x14ac:dyDescent="0.2">
      <c r="A9">
        <v>35</v>
      </c>
      <c r="B9">
        <v>25</v>
      </c>
      <c r="C9">
        <v>3.2</v>
      </c>
      <c r="D9">
        <v>8600</v>
      </c>
      <c r="E9">
        <f t="shared" si="4"/>
        <v>2.5</v>
      </c>
      <c r="F9">
        <f t="shared" si="3"/>
        <v>5040</v>
      </c>
      <c r="G9">
        <f t="shared" si="5"/>
        <v>0.5</v>
      </c>
      <c r="H9">
        <f t="shared" si="2"/>
        <v>4.96031746031746E-4</v>
      </c>
      <c r="I9">
        <f t="shared" si="0"/>
        <v>4.96031746031746E-2</v>
      </c>
      <c r="J9">
        <v>3550</v>
      </c>
      <c r="K9" s="2">
        <v>200000000000</v>
      </c>
      <c r="L9">
        <v>1147</v>
      </c>
      <c r="M9">
        <v>2091</v>
      </c>
      <c r="N9" s="2">
        <v>-20000000000000</v>
      </c>
      <c r="O9" s="2">
        <v>200000000000</v>
      </c>
      <c r="P9">
        <f t="shared" si="1"/>
        <v>2.2522522522522523</v>
      </c>
    </row>
    <row r="10" spans="1:16" x14ac:dyDescent="0.2">
      <c r="A10">
        <v>40</v>
      </c>
      <c r="B10">
        <v>25</v>
      </c>
      <c r="C10">
        <v>7.5</v>
      </c>
      <c r="D10">
        <v>8580</v>
      </c>
      <c r="E10">
        <f t="shared" si="4"/>
        <v>4.3</v>
      </c>
      <c r="F10">
        <f t="shared" si="3"/>
        <v>5760</v>
      </c>
      <c r="G10">
        <f t="shared" si="5"/>
        <v>0.86</v>
      </c>
      <c r="H10">
        <f t="shared" si="2"/>
        <v>7.4652777777777771E-4</v>
      </c>
      <c r="I10">
        <f t="shared" si="0"/>
        <v>7.4652777777777776E-2</v>
      </c>
      <c r="J10">
        <v>3550</v>
      </c>
      <c r="K10" s="2">
        <v>200000000000</v>
      </c>
      <c r="L10">
        <v>1147</v>
      </c>
      <c r="M10">
        <v>2091</v>
      </c>
      <c r="N10" s="2">
        <v>-20000000000000</v>
      </c>
      <c r="O10" s="2">
        <v>200000000000</v>
      </c>
      <c r="P10">
        <f t="shared" si="1"/>
        <v>2.2522522522522523</v>
      </c>
    </row>
    <row r="11" spans="1:16" x14ac:dyDescent="0.2">
      <c r="A11">
        <v>45</v>
      </c>
      <c r="B11">
        <v>25</v>
      </c>
      <c r="C11">
        <v>12.9</v>
      </c>
      <c r="D11">
        <v>8580</v>
      </c>
      <c r="E11">
        <f t="shared" si="4"/>
        <v>5.4</v>
      </c>
      <c r="F11">
        <f t="shared" si="3"/>
        <v>6480</v>
      </c>
      <c r="G11">
        <f t="shared" si="5"/>
        <v>1.08</v>
      </c>
      <c r="H11">
        <f t="shared" si="2"/>
        <v>8.3333333333333339E-4</v>
      </c>
      <c r="I11">
        <f t="shared" si="0"/>
        <v>8.3333333333333343E-2</v>
      </c>
      <c r="J11">
        <v>3550</v>
      </c>
      <c r="K11" s="2">
        <v>200000000000</v>
      </c>
      <c r="L11">
        <v>1147</v>
      </c>
      <c r="M11">
        <v>2091</v>
      </c>
      <c r="N11" s="2">
        <v>-20000000000000</v>
      </c>
      <c r="O11" s="2">
        <v>200000000000</v>
      </c>
      <c r="P11">
        <f t="shared" si="1"/>
        <v>2.2522522522522523</v>
      </c>
    </row>
    <row r="12" spans="1:16" x14ac:dyDescent="0.2">
      <c r="A12">
        <v>50</v>
      </c>
      <c r="B12">
        <v>25</v>
      </c>
      <c r="C12">
        <v>23</v>
      </c>
      <c r="D12">
        <v>8580</v>
      </c>
      <c r="E12">
        <f t="shared" si="4"/>
        <v>10.1</v>
      </c>
      <c r="F12">
        <f t="shared" si="3"/>
        <v>7200</v>
      </c>
      <c r="G12">
        <f t="shared" si="5"/>
        <v>2.02</v>
      </c>
      <c r="H12">
        <f t="shared" si="2"/>
        <v>1.4027777777777777E-3</v>
      </c>
      <c r="I12">
        <f t="shared" si="0"/>
        <v>0.14027777777777778</v>
      </c>
      <c r="J12">
        <v>3550</v>
      </c>
      <c r="K12" s="2">
        <v>200000000000</v>
      </c>
      <c r="L12">
        <v>1147</v>
      </c>
      <c r="M12">
        <v>2091</v>
      </c>
      <c r="N12" s="2">
        <v>-20000000000000</v>
      </c>
      <c r="O12" s="2">
        <v>200000000000</v>
      </c>
      <c r="P12">
        <f t="shared" si="1"/>
        <v>2.2522522522522523</v>
      </c>
    </row>
    <row r="13" spans="1:16" x14ac:dyDescent="0.2">
      <c r="A13">
        <v>65</v>
      </c>
      <c r="B13">
        <v>25</v>
      </c>
      <c r="C13">
        <v>115</v>
      </c>
      <c r="D13">
        <v>8580</v>
      </c>
      <c r="E13">
        <f>C13-C12</f>
        <v>92</v>
      </c>
      <c r="F13">
        <f>3600/B13*A13</f>
        <v>9360</v>
      </c>
      <c r="G13">
        <f>E13/(A13-A12)</f>
        <v>6.1333333333333337</v>
      </c>
      <c r="H13">
        <f>E13/(3600/B13*A13)</f>
        <v>9.8290598290598288E-3</v>
      </c>
      <c r="I13">
        <f>H13*100</f>
        <v>0.98290598290598286</v>
      </c>
      <c r="J13">
        <v>3550</v>
      </c>
      <c r="K13" s="2">
        <v>200000000000</v>
      </c>
      <c r="L13">
        <v>1147</v>
      </c>
      <c r="M13">
        <v>2091</v>
      </c>
      <c r="N13" s="2">
        <v>-20000000000000</v>
      </c>
      <c r="O13" s="2">
        <v>200000000000</v>
      </c>
      <c r="P13">
        <f t="shared" si="1"/>
        <v>2.2522522522522523</v>
      </c>
    </row>
    <row r="14" spans="1:16" x14ac:dyDescent="0.2">
      <c r="A14">
        <v>70</v>
      </c>
      <c r="B14">
        <v>25</v>
      </c>
      <c r="C14">
        <v>202.5</v>
      </c>
      <c r="D14">
        <v>8580</v>
      </c>
      <c r="E14">
        <f>C14-C13</f>
        <v>87.5</v>
      </c>
      <c r="F14">
        <f>3600/B14*A14</f>
        <v>10080</v>
      </c>
      <c r="G14">
        <f>E14/(A14-A13)</f>
        <v>17.5</v>
      </c>
      <c r="H14">
        <f>E14/(3600/B14*A14)</f>
        <v>8.6805555555555559E-3</v>
      </c>
      <c r="I14">
        <f>H14*100</f>
        <v>0.86805555555555558</v>
      </c>
      <c r="J14">
        <v>3550</v>
      </c>
      <c r="K14" s="2">
        <v>200000000000</v>
      </c>
      <c r="L14">
        <v>1147</v>
      </c>
      <c r="M14">
        <v>2091</v>
      </c>
      <c r="N14" s="2">
        <v>-20000000000000</v>
      </c>
      <c r="O14" s="2">
        <v>200000000000</v>
      </c>
      <c r="P14">
        <f t="shared" si="1"/>
        <v>2.2522522522522523</v>
      </c>
    </row>
    <row r="15" spans="1:16" x14ac:dyDescent="0.2">
      <c r="A15">
        <v>73</v>
      </c>
      <c r="B15">
        <v>25</v>
      </c>
      <c r="C15">
        <v>273</v>
      </c>
      <c r="D15">
        <v>8680</v>
      </c>
      <c r="E15">
        <f t="shared" si="4"/>
        <v>70.5</v>
      </c>
      <c r="F15">
        <f t="shared" si="3"/>
        <v>10512</v>
      </c>
      <c r="G15">
        <f t="shared" si="5"/>
        <v>23.5</v>
      </c>
      <c r="H15">
        <f t="shared" si="2"/>
        <v>6.7066210045662097E-3</v>
      </c>
      <c r="I15">
        <f t="shared" si="0"/>
        <v>0.670662100456621</v>
      </c>
      <c r="J15">
        <v>3550</v>
      </c>
      <c r="K15" s="2">
        <v>200000000000</v>
      </c>
      <c r="L15">
        <v>1147</v>
      </c>
      <c r="M15">
        <v>2091</v>
      </c>
      <c r="N15" s="2">
        <v>-20000000000000</v>
      </c>
      <c r="O15" s="2">
        <v>200000000000</v>
      </c>
      <c r="P15">
        <f t="shared" si="1"/>
        <v>2.2522522522522523</v>
      </c>
    </row>
    <row r="16" spans="1:16" x14ac:dyDescent="0.2">
      <c r="A16">
        <v>75</v>
      </c>
      <c r="B16">
        <v>25</v>
      </c>
      <c r="C16">
        <v>329</v>
      </c>
      <c r="D16">
        <v>8720</v>
      </c>
      <c r="E16">
        <f t="shared" si="4"/>
        <v>56</v>
      </c>
      <c r="F16">
        <f t="shared" si="3"/>
        <v>10800</v>
      </c>
      <c r="G16">
        <f t="shared" si="5"/>
        <v>28</v>
      </c>
      <c r="H16">
        <f t="shared" si="2"/>
        <v>5.185185185185185E-3</v>
      </c>
      <c r="I16">
        <f t="shared" si="0"/>
        <v>0.51851851851851849</v>
      </c>
      <c r="J16">
        <v>3550</v>
      </c>
      <c r="K16" s="2">
        <v>200000000000</v>
      </c>
      <c r="L16">
        <v>1147</v>
      </c>
      <c r="M16">
        <v>2091</v>
      </c>
      <c r="N16" s="2">
        <v>-20000000000000</v>
      </c>
      <c r="O16" s="2">
        <v>200000000000</v>
      </c>
      <c r="P16">
        <f t="shared" si="1"/>
        <v>2.2522522522522523</v>
      </c>
    </row>
    <row r="17" spans="1:16" x14ac:dyDescent="0.2">
      <c r="A17">
        <v>77</v>
      </c>
      <c r="B17">
        <v>25</v>
      </c>
      <c r="C17">
        <v>400</v>
      </c>
      <c r="D17">
        <v>8720</v>
      </c>
      <c r="E17">
        <f t="shared" si="4"/>
        <v>71</v>
      </c>
      <c r="F17">
        <f t="shared" si="3"/>
        <v>11088</v>
      </c>
      <c r="G17">
        <f t="shared" si="5"/>
        <v>35.5</v>
      </c>
      <c r="H17">
        <f t="shared" si="2"/>
        <v>6.403318903318903E-3</v>
      </c>
      <c r="I17">
        <f t="shared" si="0"/>
        <v>0.64033189033189031</v>
      </c>
      <c r="J17">
        <v>3550</v>
      </c>
      <c r="K17" s="2">
        <v>200000000000</v>
      </c>
      <c r="L17">
        <v>1147</v>
      </c>
      <c r="M17">
        <v>2091</v>
      </c>
      <c r="N17" s="2">
        <v>-20000000000000</v>
      </c>
      <c r="O17" s="2">
        <v>200000000000</v>
      </c>
      <c r="P17">
        <f t="shared" si="1"/>
        <v>2.2522522522522523</v>
      </c>
    </row>
    <row r="18" spans="1:16" x14ac:dyDescent="0.2">
      <c r="A18">
        <v>82</v>
      </c>
      <c r="B18">
        <v>25</v>
      </c>
      <c r="C18">
        <v>558</v>
      </c>
      <c r="D18">
        <v>8720</v>
      </c>
      <c r="E18">
        <f t="shared" si="4"/>
        <v>158</v>
      </c>
      <c r="F18">
        <f t="shared" si="3"/>
        <v>11808</v>
      </c>
      <c r="G18">
        <f t="shared" si="5"/>
        <v>31.6</v>
      </c>
      <c r="H18">
        <f t="shared" si="2"/>
        <v>1.3380758807588076E-2</v>
      </c>
      <c r="I18">
        <f t="shared" si="0"/>
        <v>1.3380758807588076</v>
      </c>
      <c r="J18">
        <v>3550</v>
      </c>
      <c r="K18" s="2">
        <v>200000000000</v>
      </c>
      <c r="L18">
        <v>1147</v>
      </c>
      <c r="M18">
        <v>2091</v>
      </c>
      <c r="N18" s="2">
        <v>-20000000000000</v>
      </c>
      <c r="O18" s="2">
        <v>200000000000</v>
      </c>
      <c r="P18">
        <f t="shared" si="1"/>
        <v>2.2522522522522523</v>
      </c>
    </row>
    <row r="19" spans="1:16" x14ac:dyDescent="0.2">
      <c r="A19">
        <v>90</v>
      </c>
      <c r="B19">
        <v>25</v>
      </c>
      <c r="C19">
        <v>860</v>
      </c>
      <c r="D19">
        <v>8720</v>
      </c>
      <c r="E19">
        <f t="shared" si="4"/>
        <v>302</v>
      </c>
      <c r="F19">
        <f t="shared" si="3"/>
        <v>12960</v>
      </c>
      <c r="G19">
        <f t="shared" si="5"/>
        <v>37.75</v>
      </c>
      <c r="H19">
        <f t="shared" si="2"/>
        <v>2.3302469135802469E-2</v>
      </c>
      <c r="I19">
        <f t="shared" si="0"/>
        <v>2.3302469135802468</v>
      </c>
      <c r="J19">
        <v>3550</v>
      </c>
      <c r="K19" s="2">
        <v>200000000000</v>
      </c>
      <c r="L19">
        <v>1147</v>
      </c>
      <c r="M19">
        <v>2091</v>
      </c>
      <c r="N19" s="2">
        <v>-20000000000000</v>
      </c>
      <c r="O19" s="2">
        <v>200000000000</v>
      </c>
      <c r="P19">
        <f t="shared" si="1"/>
        <v>2.2522522522522523</v>
      </c>
    </row>
    <row r="20" spans="1:16" x14ac:dyDescent="0.2">
      <c r="A20">
        <v>95</v>
      </c>
      <c r="B20">
        <v>25</v>
      </c>
      <c r="C20">
        <v>1049</v>
      </c>
      <c r="D20">
        <v>8720</v>
      </c>
      <c r="E20">
        <f t="shared" si="4"/>
        <v>189</v>
      </c>
      <c r="F20">
        <f t="shared" si="3"/>
        <v>13680</v>
      </c>
      <c r="G20">
        <f t="shared" si="5"/>
        <v>37.799999999999997</v>
      </c>
      <c r="H20">
        <f t="shared" si="2"/>
        <v>1.381578947368421E-2</v>
      </c>
      <c r="I20">
        <f t="shared" si="0"/>
        <v>1.381578947368421</v>
      </c>
      <c r="J20">
        <v>3550</v>
      </c>
      <c r="K20" s="2">
        <v>200000000000</v>
      </c>
      <c r="L20">
        <v>1147</v>
      </c>
      <c r="M20">
        <v>2091</v>
      </c>
      <c r="N20" s="2">
        <v>-20000000000000</v>
      </c>
      <c r="O20" s="2">
        <v>200000000000</v>
      </c>
      <c r="P20">
        <f t="shared" si="1"/>
        <v>2.2522522522522523</v>
      </c>
    </row>
    <row r="21" spans="1:16" x14ac:dyDescent="0.2">
      <c r="A21">
        <v>100</v>
      </c>
      <c r="B21">
        <v>25</v>
      </c>
      <c r="C21">
        <v>1240</v>
      </c>
      <c r="D21">
        <v>8720</v>
      </c>
      <c r="E21">
        <f t="shared" si="4"/>
        <v>191</v>
      </c>
      <c r="F21">
        <f t="shared" si="3"/>
        <v>14400</v>
      </c>
      <c r="G21">
        <f t="shared" si="5"/>
        <v>38.200000000000003</v>
      </c>
      <c r="H21">
        <f t="shared" si="2"/>
        <v>1.3263888888888889E-2</v>
      </c>
      <c r="I21">
        <f t="shared" si="0"/>
        <v>1.3263888888888888</v>
      </c>
      <c r="J21">
        <v>3550</v>
      </c>
      <c r="K21" s="2">
        <v>200000000000</v>
      </c>
      <c r="L21">
        <v>1147</v>
      </c>
      <c r="M21">
        <v>2091</v>
      </c>
      <c r="N21" s="2">
        <v>-20000000000000</v>
      </c>
      <c r="O21" s="2">
        <v>200000000000</v>
      </c>
      <c r="P21">
        <f t="shared" si="1"/>
        <v>2.2522522522522523</v>
      </c>
    </row>
    <row r="22" spans="1:16" x14ac:dyDescent="0.2">
      <c r="A22">
        <v>107</v>
      </c>
      <c r="B22">
        <v>25</v>
      </c>
      <c r="C22">
        <v>1488</v>
      </c>
      <c r="D22">
        <v>8720</v>
      </c>
      <c r="E22">
        <f t="shared" si="4"/>
        <v>248</v>
      </c>
      <c r="F22">
        <f t="shared" si="3"/>
        <v>15408</v>
      </c>
      <c r="G22">
        <f t="shared" si="5"/>
        <v>35.428571428571431</v>
      </c>
      <c r="H22">
        <f t="shared" si="2"/>
        <v>1.6095534787123573E-2</v>
      </c>
      <c r="I22">
        <f t="shared" si="0"/>
        <v>1.6095534787123573</v>
      </c>
      <c r="J22">
        <v>3550</v>
      </c>
      <c r="K22" s="2">
        <v>200000000000</v>
      </c>
      <c r="L22">
        <v>1147</v>
      </c>
      <c r="M22">
        <v>2091</v>
      </c>
      <c r="N22" s="2">
        <v>-20000000000000</v>
      </c>
      <c r="O22" s="2">
        <v>200000000000</v>
      </c>
      <c r="P22">
        <f t="shared" si="1"/>
        <v>2.2522522522522523</v>
      </c>
    </row>
    <row r="23" spans="1:16" x14ac:dyDescent="0.2">
      <c r="A23">
        <v>120</v>
      </c>
      <c r="B23">
        <v>25</v>
      </c>
      <c r="C23">
        <v>1930</v>
      </c>
      <c r="D23">
        <v>8720</v>
      </c>
      <c r="E23">
        <f t="shared" si="4"/>
        <v>442</v>
      </c>
      <c r="F23">
        <f t="shared" si="3"/>
        <v>17280</v>
      </c>
      <c r="G23">
        <f t="shared" si="5"/>
        <v>34</v>
      </c>
      <c r="H23">
        <f t="shared" si="2"/>
        <v>2.5578703703703704E-2</v>
      </c>
      <c r="I23">
        <f t="shared" si="0"/>
        <v>2.5578703703703702</v>
      </c>
      <c r="J23">
        <v>3550</v>
      </c>
      <c r="K23" s="2">
        <v>200000000000</v>
      </c>
      <c r="L23">
        <v>1147</v>
      </c>
      <c r="M23">
        <v>2091</v>
      </c>
      <c r="N23" s="2">
        <v>-20000000000000</v>
      </c>
      <c r="O23" s="2">
        <v>200000000000</v>
      </c>
      <c r="P23">
        <f t="shared" si="1"/>
        <v>2.2522522522522523</v>
      </c>
    </row>
    <row r="24" spans="1:16" x14ac:dyDescent="0.2">
      <c r="A24">
        <v>126</v>
      </c>
      <c r="B24">
        <v>25</v>
      </c>
      <c r="C24">
        <v>2110</v>
      </c>
      <c r="D24">
        <v>8720</v>
      </c>
      <c r="E24">
        <f t="shared" si="4"/>
        <v>180</v>
      </c>
      <c r="F24">
        <f t="shared" si="3"/>
        <v>18144</v>
      </c>
      <c r="G24">
        <f t="shared" si="5"/>
        <v>30</v>
      </c>
      <c r="H24">
        <f t="shared" si="2"/>
        <v>9.9206349206349201E-3</v>
      </c>
      <c r="I24">
        <f t="shared" si="0"/>
        <v>0.99206349206349198</v>
      </c>
      <c r="J24">
        <v>3550</v>
      </c>
      <c r="K24" s="2">
        <v>200000000000</v>
      </c>
      <c r="L24">
        <v>1147</v>
      </c>
      <c r="M24">
        <v>2091</v>
      </c>
      <c r="N24" s="2">
        <v>-20000000000000</v>
      </c>
      <c r="O24" s="2">
        <v>200000000000</v>
      </c>
      <c r="P24">
        <f t="shared" si="1"/>
        <v>2.2522522522522523</v>
      </c>
    </row>
    <row r="25" spans="1:16" x14ac:dyDescent="0.2">
      <c r="A25">
        <v>135.30000000000001</v>
      </c>
      <c r="B25">
        <v>25</v>
      </c>
      <c r="C25">
        <v>2400</v>
      </c>
      <c r="D25">
        <v>8720</v>
      </c>
      <c r="E25">
        <f t="shared" si="4"/>
        <v>290</v>
      </c>
      <c r="F25">
        <f t="shared" si="3"/>
        <v>19483.2</v>
      </c>
      <c r="G25">
        <f t="shared" si="5"/>
        <v>31.182795698924693</v>
      </c>
      <c r="H25">
        <f t="shared" si="2"/>
        <v>1.4884618543155127E-2</v>
      </c>
      <c r="I25">
        <f t="shared" si="0"/>
        <v>1.4884618543155128</v>
      </c>
      <c r="J25">
        <v>3550</v>
      </c>
      <c r="K25" s="2">
        <v>200000000000</v>
      </c>
      <c r="L25">
        <v>1147</v>
      </c>
      <c r="M25">
        <v>2091</v>
      </c>
      <c r="N25" s="2">
        <v>-20000000000000</v>
      </c>
      <c r="O25" s="2">
        <v>200000000000</v>
      </c>
      <c r="P25">
        <f t="shared" si="1"/>
        <v>2.2522522522522523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BCEC-3AA8-BD4D-BFA4-C6AADEA55670}">
  <dimension ref="A1:P38"/>
  <sheetViews>
    <sheetView topLeftCell="I12" workbookViewId="0">
      <selection activeCell="K41" sqref="K41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C2">
        <v>0.1</v>
      </c>
      <c r="D2">
        <v>8760</v>
      </c>
      <c r="E2" cm="1">
        <f t="array" aca="1" ref="E2" ca="1">E2:G297</f>
        <v>0</v>
      </c>
      <c r="F2" cm="1">
        <f t="array" aca="1" ref="F2" ca="1">F2:H317</f>
        <v>0</v>
      </c>
      <c r="G2">
        <v>0</v>
      </c>
      <c r="H2">
        <v>0</v>
      </c>
      <c r="I2">
        <f>H2*100</f>
        <v>0</v>
      </c>
      <c r="J2">
        <v>4080</v>
      </c>
      <c r="K2" s="2">
        <v>200000000000</v>
      </c>
      <c r="L2">
        <v>2667</v>
      </c>
      <c r="M2">
        <v>1414</v>
      </c>
      <c r="N2" s="2">
        <v>-60000000000000</v>
      </c>
      <c r="O2" s="2">
        <v>-15000000000000</v>
      </c>
      <c r="P2">
        <f>(50/4080)*100</f>
        <v>1.2254901960784315</v>
      </c>
    </row>
    <row r="3" spans="1:16" x14ac:dyDescent="0.2">
      <c r="A3">
        <v>5</v>
      </c>
      <c r="B3">
        <v>40</v>
      </c>
      <c r="C3">
        <v>0.27</v>
      </c>
      <c r="D3">
        <v>8760</v>
      </c>
      <c r="E3">
        <f>C3-C2</f>
        <v>0.17</v>
      </c>
      <c r="F3">
        <f>3600/B3*A3</f>
        <v>450</v>
      </c>
      <c r="G3">
        <f>E3/A3</f>
        <v>3.4000000000000002E-2</v>
      </c>
      <c r="H3">
        <f>E3/(3600/B3*A3)</f>
        <v>3.7777777777777782E-4</v>
      </c>
      <c r="I3">
        <f t="shared" ref="I3:I38" si="0">H3*100</f>
        <v>3.7777777777777785E-2</v>
      </c>
      <c r="J3">
        <v>4080</v>
      </c>
      <c r="K3" s="2">
        <v>200000000000</v>
      </c>
      <c r="L3">
        <v>2667</v>
      </c>
      <c r="M3">
        <v>1414</v>
      </c>
      <c r="N3" s="2">
        <v>-60000000000000</v>
      </c>
      <c r="O3" s="2">
        <v>-15000000000000</v>
      </c>
      <c r="P3">
        <f t="shared" ref="P3:P37" si="1">(50/4080)*100</f>
        <v>1.2254901960784315</v>
      </c>
    </row>
    <row r="4" spans="1:16" x14ac:dyDescent="0.2">
      <c r="A4">
        <v>9</v>
      </c>
      <c r="B4">
        <v>40</v>
      </c>
      <c r="C4">
        <v>0.73</v>
      </c>
      <c r="D4">
        <v>8760</v>
      </c>
      <c r="E4">
        <f>C4-C3</f>
        <v>0.45999999999999996</v>
      </c>
      <c r="F4">
        <f>3600/B4*A4</f>
        <v>810</v>
      </c>
      <c r="G4">
        <f>E4/(A4-A3)</f>
        <v>0.11499999999999999</v>
      </c>
      <c r="H4">
        <f t="shared" ref="H4:H38" si="2">E4/(3600/B4*A4)</f>
        <v>5.6790123456790123E-4</v>
      </c>
      <c r="I4">
        <f t="shared" si="0"/>
        <v>5.6790123456790124E-2</v>
      </c>
      <c r="J4">
        <v>4080</v>
      </c>
      <c r="K4" s="2">
        <v>200000000000</v>
      </c>
      <c r="L4">
        <v>2667</v>
      </c>
      <c r="M4">
        <v>1414</v>
      </c>
      <c r="N4" s="2">
        <v>-60000000000000</v>
      </c>
      <c r="O4" s="2">
        <v>-15000000000000</v>
      </c>
      <c r="P4">
        <f t="shared" si="1"/>
        <v>1.2254901960784315</v>
      </c>
    </row>
    <row r="5" spans="1:16" x14ac:dyDescent="0.2">
      <c r="A5">
        <v>15</v>
      </c>
      <c r="B5">
        <v>40</v>
      </c>
      <c r="C5">
        <v>1.1399999999999999</v>
      </c>
      <c r="D5">
        <v>8760</v>
      </c>
      <c r="E5">
        <f>C5-C4</f>
        <v>0.40999999999999992</v>
      </c>
      <c r="F5">
        <f t="shared" ref="F5:F38" si="3">3600/B5*A5</f>
        <v>1350</v>
      </c>
      <c r="G5">
        <f>E5/(A5-A4)</f>
        <v>6.8333333333333315E-2</v>
      </c>
      <c r="H5">
        <f t="shared" si="2"/>
        <v>3.0370370370370366E-4</v>
      </c>
      <c r="I5">
        <f t="shared" si="0"/>
        <v>3.0370370370370367E-2</v>
      </c>
      <c r="J5">
        <v>4080</v>
      </c>
      <c r="K5" s="2">
        <v>200000000000</v>
      </c>
      <c r="L5">
        <v>2667</v>
      </c>
      <c r="M5">
        <v>1414</v>
      </c>
      <c r="N5" s="2">
        <v>-60000000000000</v>
      </c>
      <c r="O5" s="2">
        <v>-15000000000000</v>
      </c>
      <c r="P5">
        <f t="shared" si="1"/>
        <v>1.2254901960784315</v>
      </c>
    </row>
    <row r="6" spans="1:16" x14ac:dyDescent="0.2">
      <c r="A6">
        <v>20</v>
      </c>
      <c r="B6">
        <v>25</v>
      </c>
      <c r="C6">
        <v>1.53</v>
      </c>
      <c r="D6">
        <v>8740</v>
      </c>
      <c r="E6">
        <f t="shared" ref="E6:E38" si="4">C6-C5</f>
        <v>0.39000000000000012</v>
      </c>
      <c r="F6">
        <f t="shared" si="3"/>
        <v>2880</v>
      </c>
      <c r="G6">
        <f t="shared" ref="G6:G38" si="5">E6/(A6-A5)</f>
        <v>7.8000000000000028E-2</v>
      </c>
      <c r="H6">
        <f t="shared" si="2"/>
        <v>1.3541666666666671E-4</v>
      </c>
      <c r="I6">
        <f t="shared" si="0"/>
        <v>1.3541666666666671E-2</v>
      </c>
      <c r="J6">
        <v>4080</v>
      </c>
      <c r="K6" s="2">
        <v>200000000000</v>
      </c>
      <c r="L6">
        <v>2667</v>
      </c>
      <c r="M6">
        <v>1414</v>
      </c>
      <c r="N6" s="2">
        <v>-60000000000000</v>
      </c>
      <c r="O6" s="2">
        <v>-15000000000000</v>
      </c>
      <c r="P6">
        <f t="shared" si="1"/>
        <v>1.2254901960784315</v>
      </c>
    </row>
    <row r="7" spans="1:16" x14ac:dyDescent="0.2">
      <c r="A7">
        <v>25</v>
      </c>
      <c r="B7">
        <v>25</v>
      </c>
      <c r="C7">
        <v>2.1</v>
      </c>
      <c r="D7">
        <v>8720</v>
      </c>
      <c r="E7">
        <f t="shared" si="4"/>
        <v>0.57000000000000006</v>
      </c>
      <c r="F7">
        <f t="shared" si="3"/>
        <v>3600</v>
      </c>
      <c r="G7">
        <f t="shared" si="5"/>
        <v>0.11400000000000002</v>
      </c>
      <c r="H7">
        <f t="shared" si="2"/>
        <v>1.5833333333333335E-4</v>
      </c>
      <c r="I7">
        <f t="shared" si="0"/>
        <v>1.5833333333333335E-2</v>
      </c>
      <c r="J7">
        <v>4080</v>
      </c>
      <c r="K7" s="2">
        <v>200000000000</v>
      </c>
      <c r="L7">
        <v>2667</v>
      </c>
      <c r="M7">
        <v>1414</v>
      </c>
      <c r="N7" s="2">
        <v>-60000000000000</v>
      </c>
      <c r="O7" s="2">
        <v>-15000000000000</v>
      </c>
      <c r="P7">
        <f t="shared" si="1"/>
        <v>1.2254901960784315</v>
      </c>
    </row>
    <row r="8" spans="1:16" x14ac:dyDescent="0.2">
      <c r="A8">
        <v>30</v>
      </c>
      <c r="B8">
        <v>25</v>
      </c>
      <c r="C8">
        <v>2.85</v>
      </c>
      <c r="D8">
        <v>8700</v>
      </c>
      <c r="E8">
        <f t="shared" si="4"/>
        <v>0.75</v>
      </c>
      <c r="F8">
        <f t="shared" si="3"/>
        <v>4320</v>
      </c>
      <c r="G8">
        <f t="shared" si="5"/>
        <v>0.15</v>
      </c>
      <c r="H8">
        <f t="shared" si="2"/>
        <v>1.7361111111111112E-4</v>
      </c>
      <c r="I8">
        <f t="shared" si="0"/>
        <v>1.7361111111111112E-2</v>
      </c>
      <c r="J8">
        <v>4080</v>
      </c>
      <c r="K8" s="2">
        <v>200000000000</v>
      </c>
      <c r="L8">
        <v>2667</v>
      </c>
      <c r="M8">
        <v>1414</v>
      </c>
      <c r="N8" s="2">
        <v>-60000000000000</v>
      </c>
      <c r="O8" s="2">
        <v>-15000000000000</v>
      </c>
      <c r="P8">
        <f t="shared" si="1"/>
        <v>1.2254901960784315</v>
      </c>
    </row>
    <row r="9" spans="1:16" x14ac:dyDescent="0.2">
      <c r="A9">
        <v>35</v>
      </c>
      <c r="B9">
        <v>25</v>
      </c>
      <c r="C9">
        <v>4.1100000000000003</v>
      </c>
      <c r="D9">
        <v>8680</v>
      </c>
      <c r="E9">
        <f t="shared" si="4"/>
        <v>1.2600000000000002</v>
      </c>
      <c r="F9">
        <f t="shared" si="3"/>
        <v>5040</v>
      </c>
      <c r="G9">
        <f t="shared" si="5"/>
        <v>0.25200000000000006</v>
      </c>
      <c r="H9">
        <f t="shared" si="2"/>
        <v>2.5000000000000006E-4</v>
      </c>
      <c r="I9">
        <f t="shared" si="0"/>
        <v>2.5000000000000005E-2</v>
      </c>
      <c r="J9">
        <v>4080</v>
      </c>
      <c r="K9" s="2">
        <v>200000000000</v>
      </c>
      <c r="L9">
        <v>2667</v>
      </c>
      <c r="M9">
        <v>1414</v>
      </c>
      <c r="N9" s="2">
        <v>-60000000000000</v>
      </c>
      <c r="O9" s="2">
        <v>-15000000000000</v>
      </c>
      <c r="P9">
        <f t="shared" si="1"/>
        <v>1.2254901960784315</v>
      </c>
    </row>
    <row r="10" spans="1:16" x14ac:dyDescent="0.2">
      <c r="A10">
        <v>40</v>
      </c>
      <c r="B10">
        <v>25</v>
      </c>
      <c r="C10">
        <v>6.1</v>
      </c>
      <c r="D10">
        <v>8660</v>
      </c>
      <c r="E10">
        <f t="shared" si="4"/>
        <v>1.9899999999999993</v>
      </c>
      <c r="F10">
        <f t="shared" si="3"/>
        <v>5760</v>
      </c>
      <c r="G10">
        <f t="shared" si="5"/>
        <v>0.39799999999999985</v>
      </c>
      <c r="H10">
        <f t="shared" si="2"/>
        <v>3.4548611111111097E-4</v>
      </c>
      <c r="I10">
        <f t="shared" si="0"/>
        <v>3.4548611111111099E-2</v>
      </c>
      <c r="J10">
        <v>4080</v>
      </c>
      <c r="K10" s="2">
        <v>200000000000</v>
      </c>
      <c r="L10">
        <v>2667</v>
      </c>
      <c r="M10">
        <v>1414</v>
      </c>
      <c r="N10" s="2">
        <v>-60000000000000</v>
      </c>
      <c r="O10" s="2">
        <v>-15000000000000</v>
      </c>
      <c r="P10">
        <f t="shared" si="1"/>
        <v>1.2254901960784315</v>
      </c>
    </row>
    <row r="11" spans="1:16" x14ac:dyDescent="0.2">
      <c r="A11">
        <v>45</v>
      </c>
      <c r="B11">
        <v>25</v>
      </c>
      <c r="C11">
        <v>10.06</v>
      </c>
      <c r="D11">
        <v>8640</v>
      </c>
      <c r="E11">
        <f t="shared" si="4"/>
        <v>3.9600000000000009</v>
      </c>
      <c r="F11">
        <f t="shared" si="3"/>
        <v>6480</v>
      </c>
      <c r="G11">
        <f t="shared" si="5"/>
        <v>0.79200000000000015</v>
      </c>
      <c r="H11">
        <f t="shared" si="2"/>
        <v>6.1111111111111121E-4</v>
      </c>
      <c r="I11">
        <f t="shared" si="0"/>
        <v>6.1111111111111123E-2</v>
      </c>
      <c r="J11">
        <v>4080</v>
      </c>
      <c r="K11" s="2">
        <v>200000000000</v>
      </c>
      <c r="L11">
        <v>2667</v>
      </c>
      <c r="M11">
        <v>1414</v>
      </c>
      <c r="N11" s="2">
        <v>-60000000000000</v>
      </c>
      <c r="O11" s="2">
        <v>-15000000000000</v>
      </c>
      <c r="P11">
        <f t="shared" si="1"/>
        <v>1.2254901960784315</v>
      </c>
    </row>
    <row r="12" spans="1:16" x14ac:dyDescent="0.2">
      <c r="A12">
        <v>50</v>
      </c>
      <c r="B12">
        <v>25</v>
      </c>
      <c r="C12">
        <v>15.78</v>
      </c>
      <c r="D12">
        <v>8620</v>
      </c>
      <c r="E12">
        <f t="shared" si="4"/>
        <v>5.7199999999999989</v>
      </c>
      <c r="F12">
        <f t="shared" si="3"/>
        <v>7200</v>
      </c>
      <c r="G12">
        <f t="shared" si="5"/>
        <v>1.1439999999999997</v>
      </c>
      <c r="H12">
        <f t="shared" si="2"/>
        <v>7.944444444444443E-4</v>
      </c>
      <c r="I12">
        <f t="shared" si="0"/>
        <v>7.9444444444444429E-2</v>
      </c>
      <c r="J12">
        <v>4080</v>
      </c>
      <c r="K12" s="2">
        <v>200000000000</v>
      </c>
      <c r="L12">
        <v>2667</v>
      </c>
      <c r="M12">
        <v>1414</v>
      </c>
      <c r="N12" s="2">
        <v>-60000000000000</v>
      </c>
      <c r="O12" s="2">
        <v>-15000000000000</v>
      </c>
      <c r="P12">
        <f t="shared" si="1"/>
        <v>1.2254901960784315</v>
      </c>
    </row>
    <row r="13" spans="1:16" x14ac:dyDescent="0.2">
      <c r="A13">
        <v>55</v>
      </c>
      <c r="B13">
        <v>25</v>
      </c>
      <c r="C13">
        <v>25.47</v>
      </c>
      <c r="D13">
        <v>8600</v>
      </c>
      <c r="E13">
        <f t="shared" si="4"/>
        <v>9.69</v>
      </c>
      <c r="F13">
        <f t="shared" si="3"/>
        <v>7920</v>
      </c>
      <c r="G13">
        <f t="shared" si="5"/>
        <v>1.9379999999999999</v>
      </c>
      <c r="H13">
        <f t="shared" si="2"/>
        <v>1.2234848484848485E-3</v>
      </c>
      <c r="I13">
        <f t="shared" si="0"/>
        <v>0.12234848484848485</v>
      </c>
      <c r="J13">
        <v>4080</v>
      </c>
      <c r="K13" s="2">
        <v>200000000000</v>
      </c>
      <c r="L13">
        <v>2667</v>
      </c>
      <c r="M13">
        <v>1414</v>
      </c>
      <c r="N13" s="2">
        <v>-60000000000000</v>
      </c>
      <c r="O13" s="2">
        <v>-15000000000000</v>
      </c>
      <c r="P13">
        <f t="shared" si="1"/>
        <v>1.2254901960784315</v>
      </c>
    </row>
    <row r="14" spans="1:16" x14ac:dyDescent="0.2">
      <c r="A14">
        <v>60</v>
      </c>
      <c r="B14">
        <v>25</v>
      </c>
      <c r="C14">
        <v>41.85</v>
      </c>
      <c r="D14">
        <v>8600</v>
      </c>
      <c r="E14">
        <f t="shared" si="4"/>
        <v>16.380000000000003</v>
      </c>
      <c r="F14">
        <f t="shared" si="3"/>
        <v>8640</v>
      </c>
      <c r="G14">
        <f t="shared" si="5"/>
        <v>3.2760000000000007</v>
      </c>
      <c r="H14">
        <f t="shared" si="2"/>
        <v>1.8958333333333336E-3</v>
      </c>
      <c r="I14">
        <f t="shared" si="0"/>
        <v>0.18958333333333335</v>
      </c>
      <c r="J14">
        <v>4080</v>
      </c>
      <c r="K14" s="2">
        <v>200000000000</v>
      </c>
      <c r="L14">
        <v>2667</v>
      </c>
      <c r="M14">
        <v>1414</v>
      </c>
      <c r="N14" s="2">
        <v>-60000000000000</v>
      </c>
      <c r="O14" s="2">
        <v>-15000000000000</v>
      </c>
      <c r="P14">
        <f t="shared" si="1"/>
        <v>1.2254901960784315</v>
      </c>
    </row>
    <row r="15" spans="1:16" x14ac:dyDescent="0.2">
      <c r="A15">
        <v>65</v>
      </c>
      <c r="B15">
        <v>25</v>
      </c>
      <c r="C15">
        <v>70.23</v>
      </c>
      <c r="D15">
        <v>8600</v>
      </c>
      <c r="E15">
        <f t="shared" si="4"/>
        <v>28.380000000000003</v>
      </c>
      <c r="F15">
        <f t="shared" si="3"/>
        <v>9360</v>
      </c>
      <c r="G15">
        <f t="shared" si="5"/>
        <v>5.6760000000000002</v>
      </c>
      <c r="H15">
        <f t="shared" si="2"/>
        <v>3.0320512820512825E-3</v>
      </c>
      <c r="I15">
        <f t="shared" si="0"/>
        <v>0.30320512820512824</v>
      </c>
      <c r="J15">
        <v>4080</v>
      </c>
      <c r="K15" s="2">
        <v>200000000000</v>
      </c>
      <c r="L15">
        <v>2667</v>
      </c>
      <c r="M15">
        <v>1414</v>
      </c>
      <c r="N15" s="2">
        <v>-60000000000000</v>
      </c>
      <c r="O15" s="2">
        <v>-15000000000000</v>
      </c>
      <c r="P15">
        <f t="shared" si="1"/>
        <v>1.2254901960784315</v>
      </c>
    </row>
    <row r="16" spans="1:16" x14ac:dyDescent="0.2">
      <c r="A16">
        <v>70</v>
      </c>
      <c r="B16">
        <v>25</v>
      </c>
      <c r="C16">
        <v>105.88</v>
      </c>
      <c r="D16">
        <v>8580</v>
      </c>
      <c r="E16">
        <f t="shared" si="4"/>
        <v>35.649999999999991</v>
      </c>
      <c r="F16">
        <f t="shared" si="3"/>
        <v>10080</v>
      </c>
      <c r="G16">
        <f t="shared" si="5"/>
        <v>7.1299999999999981</v>
      </c>
      <c r="H16">
        <f t="shared" si="2"/>
        <v>3.5367063492063484E-3</v>
      </c>
      <c r="I16">
        <f t="shared" si="0"/>
        <v>0.35367063492063483</v>
      </c>
      <c r="J16">
        <v>4080</v>
      </c>
      <c r="K16" s="2">
        <v>200000000000</v>
      </c>
      <c r="L16">
        <v>2667</v>
      </c>
      <c r="M16">
        <v>1414</v>
      </c>
      <c r="N16" s="2">
        <v>-60000000000000</v>
      </c>
      <c r="O16" s="2">
        <v>-15000000000000</v>
      </c>
      <c r="P16">
        <f t="shared" si="1"/>
        <v>1.2254901960784315</v>
      </c>
    </row>
    <row r="17" spans="1:16" x14ac:dyDescent="0.2">
      <c r="A17">
        <v>75</v>
      </c>
      <c r="B17">
        <v>25</v>
      </c>
      <c r="C17">
        <v>163</v>
      </c>
      <c r="D17">
        <v>8560</v>
      </c>
      <c r="E17">
        <f t="shared" si="4"/>
        <v>57.120000000000005</v>
      </c>
      <c r="F17">
        <f t="shared" si="3"/>
        <v>10800</v>
      </c>
      <c r="G17">
        <f t="shared" si="5"/>
        <v>11.424000000000001</v>
      </c>
      <c r="H17">
        <f t="shared" si="2"/>
        <v>5.288888888888889E-3</v>
      </c>
      <c r="I17">
        <f t="shared" si="0"/>
        <v>0.52888888888888885</v>
      </c>
      <c r="J17">
        <v>4080</v>
      </c>
      <c r="K17" s="2">
        <v>200000000000</v>
      </c>
      <c r="L17">
        <v>2667</v>
      </c>
      <c r="M17">
        <v>1414</v>
      </c>
      <c r="N17" s="2">
        <v>-60000000000000</v>
      </c>
      <c r="O17" s="2">
        <v>-15000000000000</v>
      </c>
      <c r="P17">
        <f t="shared" si="1"/>
        <v>1.2254901960784315</v>
      </c>
    </row>
    <row r="18" spans="1:16" x14ac:dyDescent="0.2">
      <c r="A18">
        <v>80</v>
      </c>
      <c r="B18">
        <v>25</v>
      </c>
      <c r="C18">
        <v>259</v>
      </c>
      <c r="D18">
        <v>8560</v>
      </c>
      <c r="E18">
        <f t="shared" si="4"/>
        <v>96</v>
      </c>
      <c r="F18">
        <f t="shared" si="3"/>
        <v>11520</v>
      </c>
      <c r="G18">
        <f t="shared" si="5"/>
        <v>19.2</v>
      </c>
      <c r="H18">
        <f t="shared" si="2"/>
        <v>8.3333333333333332E-3</v>
      </c>
      <c r="I18">
        <f t="shared" si="0"/>
        <v>0.83333333333333337</v>
      </c>
      <c r="J18">
        <v>4080</v>
      </c>
      <c r="K18" s="2">
        <v>200000000000</v>
      </c>
      <c r="L18">
        <v>2667</v>
      </c>
      <c r="M18">
        <v>1414</v>
      </c>
      <c r="N18" s="2">
        <v>-60000000000000</v>
      </c>
      <c r="O18" s="2">
        <v>-15000000000000</v>
      </c>
      <c r="P18">
        <f t="shared" si="1"/>
        <v>1.2254901960784315</v>
      </c>
    </row>
    <row r="19" spans="1:16" x14ac:dyDescent="0.2">
      <c r="A19">
        <v>85</v>
      </c>
      <c r="B19">
        <v>25</v>
      </c>
      <c r="C19">
        <v>349</v>
      </c>
      <c r="D19">
        <v>8660</v>
      </c>
      <c r="E19">
        <f t="shared" si="4"/>
        <v>90</v>
      </c>
      <c r="F19">
        <f t="shared" si="3"/>
        <v>12240</v>
      </c>
      <c r="G19">
        <f t="shared" si="5"/>
        <v>18</v>
      </c>
      <c r="H19">
        <f t="shared" si="2"/>
        <v>7.3529411764705881E-3</v>
      </c>
      <c r="I19">
        <f t="shared" si="0"/>
        <v>0.73529411764705876</v>
      </c>
      <c r="J19">
        <v>4080</v>
      </c>
      <c r="K19" s="2">
        <v>200000000000</v>
      </c>
      <c r="L19">
        <v>2667</v>
      </c>
      <c r="M19">
        <v>1414</v>
      </c>
      <c r="N19" s="2">
        <v>-60000000000000</v>
      </c>
      <c r="O19" s="2">
        <v>-15000000000000</v>
      </c>
      <c r="P19">
        <f t="shared" si="1"/>
        <v>1.2254901960784315</v>
      </c>
    </row>
    <row r="20" spans="1:16" x14ac:dyDescent="0.2">
      <c r="A20">
        <v>90</v>
      </c>
      <c r="B20">
        <v>25</v>
      </c>
      <c r="C20">
        <v>473</v>
      </c>
      <c r="D20">
        <v>8700</v>
      </c>
      <c r="E20">
        <f t="shared" si="4"/>
        <v>124</v>
      </c>
      <c r="F20">
        <f t="shared" si="3"/>
        <v>12960</v>
      </c>
      <c r="G20">
        <f t="shared" si="5"/>
        <v>24.8</v>
      </c>
      <c r="H20">
        <f t="shared" si="2"/>
        <v>9.5679012345679017E-3</v>
      </c>
      <c r="I20">
        <f t="shared" si="0"/>
        <v>0.95679012345679015</v>
      </c>
      <c r="J20">
        <v>4080</v>
      </c>
      <c r="K20" s="2">
        <v>200000000000</v>
      </c>
      <c r="L20">
        <v>2667</v>
      </c>
      <c r="M20">
        <v>1414</v>
      </c>
      <c r="N20" s="2">
        <v>-60000000000000</v>
      </c>
      <c r="O20" s="2">
        <v>-15000000000000</v>
      </c>
      <c r="P20">
        <f t="shared" si="1"/>
        <v>1.2254901960784315</v>
      </c>
    </row>
    <row r="21" spans="1:16" x14ac:dyDescent="0.2">
      <c r="A21">
        <v>95</v>
      </c>
      <c r="B21">
        <v>25</v>
      </c>
      <c r="C21">
        <v>614</v>
      </c>
      <c r="D21">
        <v>8700</v>
      </c>
      <c r="E21">
        <f t="shared" si="4"/>
        <v>141</v>
      </c>
      <c r="F21">
        <f t="shared" si="3"/>
        <v>13680</v>
      </c>
      <c r="G21">
        <f t="shared" si="5"/>
        <v>28.2</v>
      </c>
      <c r="H21">
        <f t="shared" si="2"/>
        <v>1.030701754385965E-2</v>
      </c>
      <c r="I21">
        <f t="shared" si="0"/>
        <v>1.0307017543859649</v>
      </c>
      <c r="J21">
        <v>4080</v>
      </c>
      <c r="K21" s="2">
        <v>200000000000</v>
      </c>
      <c r="L21">
        <v>2667</v>
      </c>
      <c r="M21">
        <v>1414</v>
      </c>
      <c r="N21" s="2">
        <v>-60000000000000</v>
      </c>
      <c r="O21" s="2">
        <v>-15000000000000</v>
      </c>
      <c r="P21">
        <f t="shared" si="1"/>
        <v>1.2254901960784315</v>
      </c>
    </row>
    <row r="22" spans="1:16" x14ac:dyDescent="0.2">
      <c r="A22">
        <v>100</v>
      </c>
      <c r="B22">
        <v>25</v>
      </c>
      <c r="C22">
        <v>761</v>
      </c>
      <c r="D22">
        <v>8700</v>
      </c>
      <c r="E22">
        <f t="shared" si="4"/>
        <v>147</v>
      </c>
      <c r="F22">
        <f t="shared" si="3"/>
        <v>14400</v>
      </c>
      <c r="G22">
        <f t="shared" si="5"/>
        <v>29.4</v>
      </c>
      <c r="H22">
        <f t="shared" si="2"/>
        <v>1.0208333333333333E-2</v>
      </c>
      <c r="I22">
        <f t="shared" si="0"/>
        <v>1.0208333333333333</v>
      </c>
      <c r="J22">
        <v>4080</v>
      </c>
      <c r="K22" s="2">
        <v>200000000000</v>
      </c>
      <c r="L22">
        <v>2667</v>
      </c>
      <c r="M22">
        <v>1414</v>
      </c>
      <c r="N22" s="2">
        <v>-60000000000000</v>
      </c>
      <c r="O22" s="2">
        <v>-15000000000000</v>
      </c>
      <c r="P22">
        <f t="shared" si="1"/>
        <v>1.2254901960784315</v>
      </c>
    </row>
    <row r="23" spans="1:16" x14ac:dyDescent="0.2">
      <c r="A23">
        <v>105</v>
      </c>
      <c r="B23">
        <v>25</v>
      </c>
      <c r="C23">
        <v>931</v>
      </c>
      <c r="D23">
        <v>8700</v>
      </c>
      <c r="E23">
        <f t="shared" si="4"/>
        <v>170</v>
      </c>
      <c r="F23">
        <f t="shared" si="3"/>
        <v>15120</v>
      </c>
      <c r="G23">
        <f t="shared" si="5"/>
        <v>34</v>
      </c>
      <c r="H23">
        <f t="shared" si="2"/>
        <v>1.1243386243386243E-2</v>
      </c>
      <c r="I23">
        <f t="shared" si="0"/>
        <v>1.1243386243386242</v>
      </c>
      <c r="J23">
        <v>4080</v>
      </c>
      <c r="K23" s="2">
        <v>200000000000</v>
      </c>
      <c r="L23">
        <v>2667</v>
      </c>
      <c r="M23">
        <v>1414</v>
      </c>
      <c r="N23" s="2">
        <v>-60000000000000</v>
      </c>
      <c r="O23" s="2">
        <v>-15000000000000</v>
      </c>
      <c r="P23">
        <f t="shared" si="1"/>
        <v>1.2254901960784315</v>
      </c>
    </row>
    <row r="24" spans="1:16" x14ac:dyDescent="0.2">
      <c r="A24">
        <v>110</v>
      </c>
      <c r="B24">
        <v>25</v>
      </c>
      <c r="C24">
        <v>1074</v>
      </c>
      <c r="D24">
        <v>8700</v>
      </c>
      <c r="E24">
        <f t="shared" si="4"/>
        <v>143</v>
      </c>
      <c r="F24">
        <f t="shared" si="3"/>
        <v>15840</v>
      </c>
      <c r="G24">
        <f t="shared" si="5"/>
        <v>28.6</v>
      </c>
      <c r="H24">
        <f t="shared" si="2"/>
        <v>9.0277777777777769E-3</v>
      </c>
      <c r="I24">
        <f t="shared" si="0"/>
        <v>0.90277777777777768</v>
      </c>
      <c r="J24">
        <v>4080</v>
      </c>
      <c r="K24" s="2">
        <v>200000000000</v>
      </c>
      <c r="L24">
        <v>2667</v>
      </c>
      <c r="M24">
        <v>1414</v>
      </c>
      <c r="N24" s="2">
        <v>-60000000000000</v>
      </c>
      <c r="O24" s="2">
        <v>-15000000000000</v>
      </c>
      <c r="P24">
        <f t="shared" si="1"/>
        <v>1.2254901960784315</v>
      </c>
    </row>
    <row r="25" spans="1:16" x14ac:dyDescent="0.2">
      <c r="A25">
        <v>115</v>
      </c>
      <c r="B25">
        <v>25</v>
      </c>
      <c r="C25">
        <v>1237</v>
      </c>
      <c r="D25">
        <v>8700</v>
      </c>
      <c r="E25">
        <f t="shared" si="4"/>
        <v>163</v>
      </c>
      <c r="F25">
        <f t="shared" si="3"/>
        <v>16560</v>
      </c>
      <c r="G25">
        <f t="shared" si="5"/>
        <v>32.6</v>
      </c>
      <c r="H25">
        <f t="shared" si="2"/>
        <v>9.8429951690821253E-3</v>
      </c>
      <c r="I25">
        <f t="shared" si="0"/>
        <v>0.98429951690821249</v>
      </c>
      <c r="J25">
        <v>4080</v>
      </c>
      <c r="K25" s="2">
        <v>200000000000</v>
      </c>
      <c r="L25">
        <v>2667</v>
      </c>
      <c r="M25">
        <v>1414</v>
      </c>
      <c r="N25" s="2">
        <v>-60000000000000</v>
      </c>
      <c r="O25" s="2">
        <v>-15000000000000</v>
      </c>
      <c r="P25">
        <f t="shared" si="1"/>
        <v>1.2254901960784315</v>
      </c>
    </row>
    <row r="26" spans="1:16" x14ac:dyDescent="0.2">
      <c r="A26">
        <v>121.5</v>
      </c>
      <c r="B26">
        <v>25</v>
      </c>
      <c r="C26">
        <v>1452</v>
      </c>
      <c r="D26">
        <v>8700</v>
      </c>
      <c r="E26">
        <f t="shared" si="4"/>
        <v>215</v>
      </c>
      <c r="F26">
        <f t="shared" si="3"/>
        <v>17496</v>
      </c>
      <c r="G26">
        <f t="shared" si="5"/>
        <v>33.07692307692308</v>
      </c>
      <c r="H26">
        <f t="shared" si="2"/>
        <v>1.2288523090992227E-2</v>
      </c>
      <c r="I26">
        <f t="shared" si="0"/>
        <v>1.2288523090992227</v>
      </c>
      <c r="J26">
        <v>4080</v>
      </c>
      <c r="K26" s="2">
        <v>200000000000</v>
      </c>
      <c r="L26">
        <v>2667</v>
      </c>
      <c r="M26">
        <v>1414</v>
      </c>
      <c r="N26" s="2">
        <v>-60000000000000</v>
      </c>
      <c r="O26" s="2">
        <v>-15000000000000</v>
      </c>
      <c r="P26">
        <f t="shared" si="1"/>
        <v>1.2254901960784315</v>
      </c>
    </row>
    <row r="27" spans="1:16" x14ac:dyDescent="0.2">
      <c r="A27">
        <v>125</v>
      </c>
      <c r="B27">
        <v>25</v>
      </c>
      <c r="C27">
        <v>1575</v>
      </c>
      <c r="D27">
        <v>8700</v>
      </c>
      <c r="E27">
        <f t="shared" si="4"/>
        <v>123</v>
      </c>
      <c r="F27">
        <f t="shared" si="3"/>
        <v>18000</v>
      </c>
      <c r="G27">
        <f t="shared" si="5"/>
        <v>35.142857142857146</v>
      </c>
      <c r="H27">
        <f t="shared" si="2"/>
        <v>6.8333333333333336E-3</v>
      </c>
      <c r="I27">
        <f t="shared" si="0"/>
        <v>0.68333333333333335</v>
      </c>
      <c r="J27">
        <v>4080</v>
      </c>
      <c r="K27" s="2">
        <v>200000000000</v>
      </c>
      <c r="L27">
        <v>2667</v>
      </c>
      <c r="M27">
        <v>1414</v>
      </c>
      <c r="N27" s="2">
        <v>-60000000000000</v>
      </c>
      <c r="O27" s="2">
        <v>-15000000000000</v>
      </c>
      <c r="P27">
        <f t="shared" si="1"/>
        <v>1.2254901960784315</v>
      </c>
    </row>
    <row r="28" spans="1:16" x14ac:dyDescent="0.2">
      <c r="A28">
        <v>130</v>
      </c>
      <c r="B28">
        <v>25</v>
      </c>
      <c r="C28">
        <v>1716</v>
      </c>
      <c r="D28">
        <v>8700</v>
      </c>
      <c r="E28">
        <f t="shared" si="4"/>
        <v>141</v>
      </c>
      <c r="F28">
        <f t="shared" si="3"/>
        <v>18720</v>
      </c>
      <c r="G28">
        <f t="shared" si="5"/>
        <v>28.2</v>
      </c>
      <c r="H28">
        <f t="shared" si="2"/>
        <v>7.5320512820512822E-3</v>
      </c>
      <c r="I28">
        <f t="shared" si="0"/>
        <v>0.75320512820512819</v>
      </c>
      <c r="J28">
        <v>4080</v>
      </c>
      <c r="K28" s="2">
        <v>200000000000</v>
      </c>
      <c r="L28">
        <v>2667</v>
      </c>
      <c r="M28">
        <v>1414</v>
      </c>
      <c r="N28" s="2">
        <v>-60000000000000</v>
      </c>
      <c r="O28" s="2">
        <v>-15000000000000</v>
      </c>
      <c r="P28">
        <f t="shared" si="1"/>
        <v>1.2254901960784315</v>
      </c>
    </row>
    <row r="29" spans="1:16" x14ac:dyDescent="0.2">
      <c r="A29">
        <v>135</v>
      </c>
      <c r="B29">
        <v>25</v>
      </c>
      <c r="C29">
        <v>1877</v>
      </c>
      <c r="D29">
        <v>8700</v>
      </c>
      <c r="E29">
        <f t="shared" si="4"/>
        <v>161</v>
      </c>
      <c r="F29">
        <f t="shared" si="3"/>
        <v>19440</v>
      </c>
      <c r="G29">
        <f t="shared" si="5"/>
        <v>32.200000000000003</v>
      </c>
      <c r="H29">
        <f t="shared" si="2"/>
        <v>8.2818930041152258E-3</v>
      </c>
      <c r="I29">
        <f t="shared" si="0"/>
        <v>0.82818930041152261</v>
      </c>
      <c r="J29">
        <v>4080</v>
      </c>
      <c r="K29" s="2">
        <v>200000000000</v>
      </c>
      <c r="L29">
        <v>2667</v>
      </c>
      <c r="M29">
        <v>1414</v>
      </c>
      <c r="N29" s="2">
        <v>-60000000000000</v>
      </c>
      <c r="O29" s="2">
        <v>-15000000000000</v>
      </c>
      <c r="P29">
        <f t="shared" si="1"/>
        <v>1.2254901960784315</v>
      </c>
    </row>
    <row r="30" spans="1:16" x14ac:dyDescent="0.2">
      <c r="A30">
        <v>140</v>
      </c>
      <c r="B30">
        <v>25</v>
      </c>
      <c r="C30">
        <v>2019</v>
      </c>
      <c r="D30">
        <v>8700</v>
      </c>
      <c r="E30">
        <f t="shared" si="4"/>
        <v>142</v>
      </c>
      <c r="F30">
        <f t="shared" si="3"/>
        <v>20160</v>
      </c>
      <c r="G30">
        <f t="shared" si="5"/>
        <v>28.4</v>
      </c>
      <c r="H30">
        <f t="shared" si="2"/>
        <v>7.0436507936507938E-3</v>
      </c>
      <c r="I30">
        <f t="shared" si="0"/>
        <v>0.70436507936507942</v>
      </c>
      <c r="J30">
        <v>4080</v>
      </c>
      <c r="K30" s="2">
        <v>200000000000</v>
      </c>
      <c r="L30">
        <v>2667</v>
      </c>
      <c r="M30">
        <v>1414</v>
      </c>
      <c r="N30" s="2">
        <v>-60000000000000</v>
      </c>
      <c r="O30" s="2">
        <v>-15000000000000</v>
      </c>
      <c r="P30">
        <f t="shared" si="1"/>
        <v>1.2254901960784315</v>
      </c>
    </row>
    <row r="31" spans="1:16" x14ac:dyDescent="0.2">
      <c r="A31">
        <v>145</v>
      </c>
      <c r="B31">
        <v>25</v>
      </c>
      <c r="C31">
        <v>2151</v>
      </c>
      <c r="D31">
        <v>8700</v>
      </c>
      <c r="E31">
        <f t="shared" si="4"/>
        <v>132</v>
      </c>
      <c r="F31">
        <f t="shared" si="3"/>
        <v>20880</v>
      </c>
      <c r="G31">
        <f t="shared" si="5"/>
        <v>26.4</v>
      </c>
      <c r="H31">
        <f t="shared" si="2"/>
        <v>6.32183908045977E-3</v>
      </c>
      <c r="I31">
        <f t="shared" si="0"/>
        <v>0.63218390804597702</v>
      </c>
      <c r="J31">
        <v>4080</v>
      </c>
      <c r="K31" s="2">
        <v>200000000000</v>
      </c>
      <c r="L31">
        <v>2667</v>
      </c>
      <c r="M31">
        <v>1414</v>
      </c>
      <c r="N31" s="2">
        <v>-60000000000000</v>
      </c>
      <c r="O31" s="2">
        <v>-15000000000000</v>
      </c>
      <c r="P31">
        <f t="shared" si="1"/>
        <v>1.2254901960784315</v>
      </c>
    </row>
    <row r="32" spans="1:16" x14ac:dyDescent="0.2">
      <c r="A32">
        <v>150</v>
      </c>
      <c r="B32">
        <v>25</v>
      </c>
      <c r="C32">
        <v>2283</v>
      </c>
      <c r="D32">
        <v>8700</v>
      </c>
      <c r="E32">
        <f t="shared" si="4"/>
        <v>132</v>
      </c>
      <c r="F32">
        <f t="shared" si="3"/>
        <v>21600</v>
      </c>
      <c r="G32">
        <f t="shared" si="5"/>
        <v>26.4</v>
      </c>
      <c r="H32">
        <f t="shared" si="2"/>
        <v>6.1111111111111114E-3</v>
      </c>
      <c r="I32">
        <f t="shared" si="0"/>
        <v>0.61111111111111116</v>
      </c>
      <c r="J32">
        <v>4080</v>
      </c>
      <c r="K32" s="2">
        <v>200000000000</v>
      </c>
      <c r="L32">
        <v>2667</v>
      </c>
      <c r="M32">
        <v>1414</v>
      </c>
      <c r="N32" s="2">
        <v>-60000000000000</v>
      </c>
      <c r="O32" s="2">
        <v>-15000000000000</v>
      </c>
      <c r="P32">
        <f t="shared" si="1"/>
        <v>1.2254901960784315</v>
      </c>
    </row>
    <row r="33" spans="1:16" x14ac:dyDescent="0.2">
      <c r="A33">
        <v>155</v>
      </c>
      <c r="B33">
        <v>25</v>
      </c>
      <c r="C33">
        <v>2408</v>
      </c>
      <c r="D33">
        <v>8700</v>
      </c>
      <c r="E33">
        <f t="shared" si="4"/>
        <v>125</v>
      </c>
      <c r="F33">
        <f t="shared" si="3"/>
        <v>22320</v>
      </c>
      <c r="G33">
        <f t="shared" si="5"/>
        <v>25</v>
      </c>
      <c r="H33">
        <f t="shared" si="2"/>
        <v>5.600358422939068E-3</v>
      </c>
      <c r="I33">
        <f t="shared" si="0"/>
        <v>0.56003584229390679</v>
      </c>
      <c r="J33">
        <v>4080</v>
      </c>
      <c r="K33" s="2">
        <v>200000000000</v>
      </c>
      <c r="L33">
        <v>2667</v>
      </c>
      <c r="M33">
        <v>1414</v>
      </c>
      <c r="N33" s="2">
        <v>-60000000000000</v>
      </c>
      <c r="O33" s="2">
        <v>-15000000000000</v>
      </c>
      <c r="P33">
        <f t="shared" si="1"/>
        <v>1.2254901960784315</v>
      </c>
    </row>
    <row r="34" spans="1:16" x14ac:dyDescent="0.2">
      <c r="A34">
        <v>165</v>
      </c>
      <c r="B34">
        <v>25</v>
      </c>
      <c r="C34">
        <v>2665</v>
      </c>
      <c r="D34">
        <v>8700</v>
      </c>
      <c r="E34">
        <f t="shared" si="4"/>
        <v>257</v>
      </c>
      <c r="F34">
        <f t="shared" si="3"/>
        <v>23760</v>
      </c>
      <c r="G34">
        <f t="shared" si="5"/>
        <v>25.7</v>
      </c>
      <c r="H34">
        <f t="shared" si="2"/>
        <v>1.0816498316498316E-2</v>
      </c>
      <c r="I34">
        <f t="shared" si="0"/>
        <v>1.0816498316498315</v>
      </c>
      <c r="J34">
        <v>4080</v>
      </c>
      <c r="K34" s="2">
        <v>200000000000</v>
      </c>
      <c r="L34">
        <v>2667</v>
      </c>
      <c r="M34">
        <v>1414</v>
      </c>
      <c r="N34" s="2">
        <v>-60000000000000</v>
      </c>
      <c r="O34" s="2">
        <v>-15000000000000</v>
      </c>
      <c r="P34">
        <f t="shared" si="1"/>
        <v>1.2254901960784315</v>
      </c>
    </row>
    <row r="35" spans="1:16" x14ac:dyDescent="0.2">
      <c r="A35">
        <v>170</v>
      </c>
      <c r="B35">
        <v>25</v>
      </c>
      <c r="C35">
        <v>2800</v>
      </c>
      <c r="D35">
        <v>8700</v>
      </c>
      <c r="E35">
        <f t="shared" si="4"/>
        <v>135</v>
      </c>
      <c r="F35">
        <f t="shared" si="3"/>
        <v>24480</v>
      </c>
      <c r="G35">
        <f t="shared" si="5"/>
        <v>27</v>
      </c>
      <c r="H35">
        <f t="shared" si="2"/>
        <v>5.5147058823529415E-3</v>
      </c>
      <c r="I35">
        <f t="shared" si="0"/>
        <v>0.55147058823529416</v>
      </c>
      <c r="J35">
        <v>4080</v>
      </c>
      <c r="K35" s="2">
        <v>200000000000</v>
      </c>
      <c r="L35">
        <v>2667</v>
      </c>
      <c r="M35">
        <v>1414</v>
      </c>
      <c r="N35" s="2">
        <v>-60000000000000</v>
      </c>
      <c r="O35" s="2">
        <v>-15000000000000</v>
      </c>
      <c r="P35">
        <f t="shared" si="1"/>
        <v>1.2254901960784315</v>
      </c>
    </row>
    <row r="36" spans="1:16" x14ac:dyDescent="0.2">
      <c r="A36">
        <v>172.6</v>
      </c>
      <c r="B36">
        <v>25</v>
      </c>
      <c r="C36">
        <v>2880</v>
      </c>
      <c r="D36">
        <v>8700</v>
      </c>
      <c r="E36">
        <f t="shared" si="4"/>
        <v>80</v>
      </c>
      <c r="F36">
        <f t="shared" si="3"/>
        <v>24854.399999999998</v>
      </c>
      <c r="G36">
        <f t="shared" si="5"/>
        <v>30.769230769230838</v>
      </c>
      <c r="H36">
        <f t="shared" si="2"/>
        <v>3.2187459765675294E-3</v>
      </c>
      <c r="I36">
        <f t="shared" si="0"/>
        <v>0.32187459765675291</v>
      </c>
      <c r="J36">
        <v>4080</v>
      </c>
      <c r="K36" s="2">
        <v>200000000000</v>
      </c>
      <c r="L36">
        <v>2667</v>
      </c>
      <c r="M36">
        <v>1414</v>
      </c>
      <c r="N36" s="2">
        <v>-60000000000000</v>
      </c>
      <c r="O36" s="2">
        <v>-15000000000000</v>
      </c>
      <c r="P36">
        <f t="shared" si="1"/>
        <v>1.2254901960784315</v>
      </c>
    </row>
    <row r="37" spans="1:16" x14ac:dyDescent="0.2">
      <c r="A37">
        <v>185</v>
      </c>
      <c r="B37">
        <v>25</v>
      </c>
      <c r="C37">
        <v>3348</v>
      </c>
      <c r="D37">
        <f>(F37-F36)*(1000/3600)+D36</f>
        <v>9196</v>
      </c>
      <c r="E37">
        <f t="shared" si="4"/>
        <v>468</v>
      </c>
      <c r="F37">
        <f t="shared" si="3"/>
        <v>26640</v>
      </c>
      <c r="G37">
        <f t="shared" si="5"/>
        <v>37.741935483870954</v>
      </c>
      <c r="H37">
        <f t="shared" si="2"/>
        <v>1.7567567567567569E-2</v>
      </c>
      <c r="I37">
        <f t="shared" si="0"/>
        <v>1.7567567567567568</v>
      </c>
      <c r="J37">
        <v>4080</v>
      </c>
      <c r="K37" s="2">
        <v>200000000000</v>
      </c>
      <c r="L37">
        <v>2667</v>
      </c>
      <c r="M37">
        <v>1414</v>
      </c>
      <c r="N37" s="2">
        <v>-60000000000000</v>
      </c>
      <c r="O37" s="2">
        <v>-15000000000000</v>
      </c>
      <c r="P37">
        <f t="shared" si="1"/>
        <v>1.2254901960784315</v>
      </c>
    </row>
    <row r="38" spans="1:16" x14ac:dyDescent="0.2">
      <c r="A38">
        <v>190</v>
      </c>
      <c r="B38">
        <v>25</v>
      </c>
      <c r="C38">
        <v>3596</v>
      </c>
      <c r="D38">
        <f>(F38-F37)*(1000/3600)+D37</f>
        <v>9396</v>
      </c>
      <c r="E38">
        <f t="shared" si="4"/>
        <v>248</v>
      </c>
      <c r="F38">
        <f t="shared" si="3"/>
        <v>27360</v>
      </c>
      <c r="G38">
        <f t="shared" si="5"/>
        <v>49.6</v>
      </c>
      <c r="H38">
        <f t="shared" si="2"/>
        <v>9.0643274853801168E-3</v>
      </c>
      <c r="I38">
        <f t="shared" si="0"/>
        <v>0.9064327485380117</v>
      </c>
      <c r="J38">
        <v>4080</v>
      </c>
      <c r="K38" s="2">
        <v>200000000000</v>
      </c>
      <c r="L38">
        <v>2667</v>
      </c>
      <c r="M38">
        <v>1414</v>
      </c>
      <c r="N38" s="2">
        <v>-60000000000000</v>
      </c>
      <c r="O38" s="2">
        <v>-15000000000000</v>
      </c>
      <c r="P38">
        <f>(50/4080)*100</f>
        <v>1.2254901960784315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DB44-3070-8045-A539-C43FE6ABF16A}">
  <dimension ref="A1:P33"/>
  <sheetViews>
    <sheetView topLeftCell="H1" workbookViewId="0">
      <selection activeCell="K35" sqref="K35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C2">
        <v>5.86</v>
      </c>
      <c r="D2">
        <v>8740</v>
      </c>
      <c r="E2" cm="1">
        <f t="array" aca="1" ref="E2" ca="1">E2:G297</f>
        <v>0</v>
      </c>
      <c r="F2" cm="1">
        <f t="array" aca="1" ref="F2" ca="1">F2:H317</f>
        <v>0</v>
      </c>
      <c r="G2">
        <v>0</v>
      </c>
      <c r="H2">
        <v>0</v>
      </c>
      <c r="I2">
        <f>H2*100</f>
        <v>0</v>
      </c>
      <c r="J2">
        <v>3730</v>
      </c>
      <c r="K2" s="2">
        <v>800000000000</v>
      </c>
      <c r="L2">
        <v>2523</v>
      </c>
      <c r="M2">
        <v>1207</v>
      </c>
      <c r="N2" s="2">
        <v>-23000000000000</v>
      </c>
      <c r="O2" s="2">
        <v>240000000000</v>
      </c>
      <c r="P2">
        <f>(10/3730)*100</f>
        <v>0.26809651474530832</v>
      </c>
    </row>
    <row r="3" spans="1:16" x14ac:dyDescent="0.2">
      <c r="A3">
        <v>2</v>
      </c>
      <c r="B3">
        <v>40</v>
      </c>
      <c r="C3">
        <v>6.09</v>
      </c>
      <c r="D3">
        <v>8720</v>
      </c>
      <c r="E3">
        <f>C3-C2</f>
        <v>0.22999999999999954</v>
      </c>
      <c r="F3">
        <f>3600/B3*A3</f>
        <v>180</v>
      </c>
      <c r="G3">
        <f>E3/A3</f>
        <v>0.11499999999999977</v>
      </c>
      <c r="H3">
        <f>E3/(3600/B3*A3)</f>
        <v>1.2777777777777753E-3</v>
      </c>
      <c r="I3">
        <f t="shared" ref="I3:I33" si="0">H3*100</f>
        <v>0.12777777777777752</v>
      </c>
      <c r="J3">
        <v>3730</v>
      </c>
      <c r="K3" s="2">
        <v>800000000000</v>
      </c>
      <c r="L3">
        <v>2523</v>
      </c>
      <c r="M3">
        <v>1207</v>
      </c>
      <c r="N3" s="2">
        <v>-23000000000000</v>
      </c>
      <c r="O3" s="2">
        <v>240000000000</v>
      </c>
      <c r="P3">
        <f t="shared" ref="P3:P33" si="1">(10/3730)*100</f>
        <v>0.26809651474530832</v>
      </c>
    </row>
    <row r="4" spans="1:16" x14ac:dyDescent="0.2">
      <c r="A4">
        <v>10</v>
      </c>
      <c r="B4">
        <v>40</v>
      </c>
      <c r="C4">
        <v>8.44</v>
      </c>
      <c r="D4">
        <v>8720</v>
      </c>
      <c r="E4">
        <f>C4-C3</f>
        <v>2.3499999999999996</v>
      </c>
      <c r="F4">
        <f>3600/B4*A4</f>
        <v>900</v>
      </c>
      <c r="G4">
        <f>E4/(A4-A3)</f>
        <v>0.29374999999999996</v>
      </c>
      <c r="H4">
        <f t="shared" ref="H4:H33" si="2">E4/(3600/B4*A4)</f>
        <v>2.6111111111111109E-3</v>
      </c>
      <c r="I4">
        <f t="shared" si="0"/>
        <v>0.26111111111111107</v>
      </c>
      <c r="J4">
        <v>3730</v>
      </c>
      <c r="K4" s="2">
        <v>800000000000</v>
      </c>
      <c r="L4">
        <v>2523</v>
      </c>
      <c r="M4">
        <v>1207</v>
      </c>
      <c r="N4" s="2">
        <v>-23000000000000</v>
      </c>
      <c r="O4" s="2">
        <v>240000000000</v>
      </c>
      <c r="P4">
        <f t="shared" si="1"/>
        <v>0.26809651474530832</v>
      </c>
    </row>
    <row r="5" spans="1:16" x14ac:dyDescent="0.2">
      <c r="A5">
        <v>15</v>
      </c>
      <c r="B5">
        <v>22</v>
      </c>
      <c r="C5">
        <v>11.51</v>
      </c>
      <c r="D5">
        <v>8700</v>
      </c>
      <c r="E5">
        <f>C5-C4</f>
        <v>3.0700000000000003</v>
      </c>
      <c r="F5">
        <f t="shared" ref="F5:F33" si="3">3600/B5*A5</f>
        <v>2454.5454545454545</v>
      </c>
      <c r="G5">
        <f>E5/(A5-A4)</f>
        <v>0.6140000000000001</v>
      </c>
      <c r="H5">
        <f t="shared" si="2"/>
        <v>1.2507407407407408E-3</v>
      </c>
      <c r="I5">
        <f t="shared" si="0"/>
        <v>0.12507407407407409</v>
      </c>
      <c r="J5">
        <v>3730</v>
      </c>
      <c r="K5" s="2">
        <v>800000000000</v>
      </c>
      <c r="L5">
        <v>2523</v>
      </c>
      <c r="M5">
        <v>1207</v>
      </c>
      <c r="N5" s="2">
        <v>-23000000000000</v>
      </c>
      <c r="O5" s="2">
        <v>240000000000</v>
      </c>
      <c r="P5">
        <f t="shared" si="1"/>
        <v>0.26809651474530832</v>
      </c>
    </row>
    <row r="6" spans="1:16" x14ac:dyDescent="0.2">
      <c r="A6">
        <v>20</v>
      </c>
      <c r="B6">
        <v>22</v>
      </c>
      <c r="C6">
        <v>17.809999999999999</v>
      </c>
      <c r="D6">
        <v>8700</v>
      </c>
      <c r="E6">
        <f t="shared" ref="E6:E33" si="4">C6-C5</f>
        <v>6.2999999999999989</v>
      </c>
      <c r="F6">
        <f t="shared" si="3"/>
        <v>3272.7272727272725</v>
      </c>
      <c r="G6">
        <f t="shared" ref="G6:G33" si="5">E6/(A6-A5)</f>
        <v>1.2599999999999998</v>
      </c>
      <c r="H6">
        <f t="shared" si="2"/>
        <v>1.9249999999999998E-3</v>
      </c>
      <c r="I6">
        <f t="shared" si="0"/>
        <v>0.19249999999999998</v>
      </c>
      <c r="J6">
        <v>3730</v>
      </c>
      <c r="K6" s="2">
        <v>800000000000</v>
      </c>
      <c r="L6">
        <v>2523</v>
      </c>
      <c r="M6">
        <v>1207</v>
      </c>
      <c r="N6" s="2">
        <v>-23000000000000</v>
      </c>
      <c r="O6" s="2">
        <v>240000000000</v>
      </c>
      <c r="P6">
        <f t="shared" si="1"/>
        <v>0.26809651474530832</v>
      </c>
    </row>
    <row r="7" spans="1:16" x14ac:dyDescent="0.2">
      <c r="A7">
        <v>25</v>
      </c>
      <c r="B7">
        <v>22</v>
      </c>
      <c r="C7">
        <v>26.18</v>
      </c>
      <c r="D7">
        <v>8700</v>
      </c>
      <c r="E7">
        <f t="shared" si="4"/>
        <v>8.370000000000001</v>
      </c>
      <c r="F7">
        <f t="shared" si="3"/>
        <v>4090.9090909090905</v>
      </c>
      <c r="G7">
        <f t="shared" si="5"/>
        <v>1.6740000000000002</v>
      </c>
      <c r="H7">
        <f t="shared" si="2"/>
        <v>2.0460000000000005E-3</v>
      </c>
      <c r="I7">
        <f t="shared" si="0"/>
        <v>0.20460000000000006</v>
      </c>
      <c r="J7">
        <v>3730</v>
      </c>
      <c r="K7" s="2">
        <v>800000000000</v>
      </c>
      <c r="L7">
        <v>2523</v>
      </c>
      <c r="M7">
        <v>1207</v>
      </c>
      <c r="N7" s="2">
        <v>-23000000000000</v>
      </c>
      <c r="O7" s="2">
        <v>240000000000</v>
      </c>
      <c r="P7">
        <f t="shared" si="1"/>
        <v>0.26809651474530832</v>
      </c>
    </row>
    <row r="8" spans="1:16" x14ac:dyDescent="0.2">
      <c r="A8">
        <v>30.8</v>
      </c>
      <c r="B8">
        <v>22</v>
      </c>
      <c r="C8">
        <v>42.05</v>
      </c>
      <c r="D8">
        <v>8700</v>
      </c>
      <c r="E8">
        <f t="shared" si="4"/>
        <v>15.869999999999997</v>
      </c>
      <c r="F8">
        <f t="shared" si="3"/>
        <v>5040</v>
      </c>
      <c r="G8">
        <f t="shared" si="5"/>
        <v>2.7362068965517232</v>
      </c>
      <c r="H8">
        <f t="shared" si="2"/>
        <v>3.1488095238095233E-3</v>
      </c>
      <c r="I8">
        <f t="shared" si="0"/>
        <v>0.31488095238095232</v>
      </c>
      <c r="J8">
        <v>3730</v>
      </c>
      <c r="K8" s="2">
        <v>800000000000</v>
      </c>
      <c r="L8">
        <v>2523</v>
      </c>
      <c r="M8">
        <v>1207</v>
      </c>
      <c r="N8" s="2">
        <v>-23000000000000</v>
      </c>
      <c r="O8" s="2">
        <v>240000000000</v>
      </c>
      <c r="P8">
        <f t="shared" si="1"/>
        <v>0.26809651474530832</v>
      </c>
    </row>
    <row r="9" spans="1:16" x14ac:dyDescent="0.2">
      <c r="A9">
        <v>35</v>
      </c>
      <c r="B9">
        <v>22</v>
      </c>
      <c r="C9">
        <v>58.22</v>
      </c>
      <c r="D9">
        <v>8680</v>
      </c>
      <c r="E9">
        <f t="shared" si="4"/>
        <v>16.170000000000002</v>
      </c>
      <c r="F9">
        <f t="shared" si="3"/>
        <v>5727.272727272727</v>
      </c>
      <c r="G9">
        <f t="shared" si="5"/>
        <v>3.850000000000001</v>
      </c>
      <c r="H9">
        <f t="shared" si="2"/>
        <v>2.8233333333333339E-3</v>
      </c>
      <c r="I9">
        <f t="shared" si="0"/>
        <v>0.28233333333333338</v>
      </c>
      <c r="J9">
        <v>3730</v>
      </c>
      <c r="K9" s="2">
        <v>800000000000</v>
      </c>
      <c r="L9">
        <v>2523</v>
      </c>
      <c r="M9">
        <v>1207</v>
      </c>
      <c r="N9" s="2">
        <v>-23000000000000</v>
      </c>
      <c r="O9" s="2">
        <v>240000000000</v>
      </c>
      <c r="P9">
        <f t="shared" si="1"/>
        <v>0.26809651474530832</v>
      </c>
    </row>
    <row r="10" spans="1:16" x14ac:dyDescent="0.2">
      <c r="A10">
        <v>40</v>
      </c>
      <c r="B10">
        <v>22</v>
      </c>
      <c r="C10">
        <v>80.260000000000005</v>
      </c>
      <c r="D10">
        <v>8660</v>
      </c>
      <c r="E10">
        <f t="shared" si="4"/>
        <v>22.040000000000006</v>
      </c>
      <c r="F10">
        <f t="shared" si="3"/>
        <v>6545.454545454545</v>
      </c>
      <c r="G10">
        <f t="shared" si="5"/>
        <v>4.4080000000000013</v>
      </c>
      <c r="H10">
        <f t="shared" si="2"/>
        <v>3.3672222222222233E-3</v>
      </c>
      <c r="I10">
        <f t="shared" si="0"/>
        <v>0.33672222222222231</v>
      </c>
      <c r="J10">
        <v>3730</v>
      </c>
      <c r="K10" s="2">
        <v>800000000000</v>
      </c>
      <c r="L10">
        <v>2523</v>
      </c>
      <c r="M10">
        <v>1207</v>
      </c>
      <c r="N10" s="2">
        <v>-23000000000000</v>
      </c>
      <c r="O10" s="2">
        <v>240000000000</v>
      </c>
      <c r="P10">
        <f t="shared" si="1"/>
        <v>0.26809651474530832</v>
      </c>
    </row>
    <row r="11" spans="1:16" x14ac:dyDescent="0.2">
      <c r="A11">
        <v>48</v>
      </c>
      <c r="B11">
        <v>22</v>
      </c>
      <c r="C11">
        <v>137.04</v>
      </c>
      <c r="D11">
        <v>8640</v>
      </c>
      <c r="E11">
        <f t="shared" si="4"/>
        <v>56.779999999999987</v>
      </c>
      <c r="F11">
        <f t="shared" si="3"/>
        <v>7854.545454545454</v>
      </c>
      <c r="G11">
        <f t="shared" si="5"/>
        <v>7.0974999999999984</v>
      </c>
      <c r="H11">
        <f t="shared" si="2"/>
        <v>7.2289351851851837E-3</v>
      </c>
      <c r="I11">
        <f t="shared" si="0"/>
        <v>0.72289351851851835</v>
      </c>
      <c r="J11">
        <v>3730</v>
      </c>
      <c r="K11" s="2">
        <v>800000000000</v>
      </c>
      <c r="L11">
        <v>2523</v>
      </c>
      <c r="M11">
        <v>1207</v>
      </c>
      <c r="N11" s="2">
        <v>-23000000000000</v>
      </c>
      <c r="O11" s="2">
        <v>240000000000</v>
      </c>
      <c r="P11">
        <f t="shared" si="1"/>
        <v>0.26809651474530832</v>
      </c>
    </row>
    <row r="12" spans="1:16" x14ac:dyDescent="0.2">
      <c r="A12">
        <v>55</v>
      </c>
      <c r="B12">
        <v>22</v>
      </c>
      <c r="C12">
        <v>217.31</v>
      </c>
      <c r="D12">
        <v>8640</v>
      </c>
      <c r="E12">
        <f t="shared" si="4"/>
        <v>80.27000000000001</v>
      </c>
      <c r="F12">
        <f t="shared" si="3"/>
        <v>9000</v>
      </c>
      <c r="G12">
        <f t="shared" si="5"/>
        <v>11.467142857142859</v>
      </c>
      <c r="H12">
        <f t="shared" si="2"/>
        <v>8.9188888888888894E-3</v>
      </c>
      <c r="I12">
        <f t="shared" si="0"/>
        <v>0.89188888888888895</v>
      </c>
      <c r="J12">
        <v>3730</v>
      </c>
      <c r="K12" s="2">
        <v>800000000000</v>
      </c>
      <c r="L12">
        <v>2523</v>
      </c>
      <c r="M12">
        <v>1207</v>
      </c>
      <c r="N12" s="2">
        <v>-23000000000000</v>
      </c>
      <c r="O12" s="2">
        <v>240000000000</v>
      </c>
      <c r="P12">
        <f t="shared" si="1"/>
        <v>0.26809651474530832</v>
      </c>
    </row>
    <row r="13" spans="1:16" x14ac:dyDescent="0.2">
      <c r="A13">
        <v>60</v>
      </c>
      <c r="B13">
        <v>22</v>
      </c>
      <c r="C13">
        <v>302</v>
      </c>
      <c r="D13">
        <v>8640</v>
      </c>
      <c r="E13">
        <f t="shared" si="4"/>
        <v>84.69</v>
      </c>
      <c r="F13">
        <f t="shared" si="3"/>
        <v>9818.181818181818</v>
      </c>
      <c r="G13">
        <f t="shared" si="5"/>
        <v>16.937999999999999</v>
      </c>
      <c r="H13">
        <f t="shared" si="2"/>
        <v>8.6258333333333326E-3</v>
      </c>
      <c r="I13">
        <f t="shared" si="0"/>
        <v>0.86258333333333326</v>
      </c>
      <c r="J13">
        <v>3730</v>
      </c>
      <c r="K13" s="2">
        <v>800000000000</v>
      </c>
      <c r="L13">
        <v>2523</v>
      </c>
      <c r="M13">
        <v>1207</v>
      </c>
      <c r="N13" s="2">
        <v>-23000000000000</v>
      </c>
      <c r="O13" s="2">
        <v>240000000000</v>
      </c>
      <c r="P13">
        <f t="shared" si="1"/>
        <v>0.26809651474530832</v>
      </c>
    </row>
    <row r="14" spans="1:16" x14ac:dyDescent="0.2">
      <c r="A14">
        <v>65</v>
      </c>
      <c r="B14">
        <v>22</v>
      </c>
      <c r="C14">
        <v>420</v>
      </c>
      <c r="D14">
        <v>8740</v>
      </c>
      <c r="E14">
        <f t="shared" si="4"/>
        <v>118</v>
      </c>
      <c r="F14">
        <f t="shared" si="3"/>
        <v>10636.363636363636</v>
      </c>
      <c r="G14">
        <f t="shared" si="5"/>
        <v>23.6</v>
      </c>
      <c r="H14">
        <f t="shared" si="2"/>
        <v>1.1094017094017094E-2</v>
      </c>
      <c r="I14">
        <f t="shared" si="0"/>
        <v>1.1094017094017095</v>
      </c>
      <c r="J14">
        <v>3730</v>
      </c>
      <c r="K14" s="2">
        <v>800000000000</v>
      </c>
      <c r="L14">
        <v>2523</v>
      </c>
      <c r="M14">
        <v>1207</v>
      </c>
      <c r="N14" s="2">
        <v>-23000000000000</v>
      </c>
      <c r="O14" s="2">
        <v>240000000000</v>
      </c>
      <c r="P14">
        <f t="shared" si="1"/>
        <v>0.26809651474530832</v>
      </c>
    </row>
    <row r="15" spans="1:16" x14ac:dyDescent="0.2">
      <c r="A15">
        <v>73.599999999999994</v>
      </c>
      <c r="B15">
        <v>22</v>
      </c>
      <c r="C15">
        <v>664</v>
      </c>
      <c r="D15">
        <v>8740</v>
      </c>
      <c r="E15">
        <f t="shared" si="4"/>
        <v>244</v>
      </c>
      <c r="F15">
        <f t="shared" si="3"/>
        <v>12043.636363636362</v>
      </c>
      <c r="G15">
        <f t="shared" si="5"/>
        <v>28.372093023255832</v>
      </c>
      <c r="H15">
        <f t="shared" si="2"/>
        <v>2.0259661835748795E-2</v>
      </c>
      <c r="I15">
        <f t="shared" si="0"/>
        <v>2.0259661835748797</v>
      </c>
      <c r="J15">
        <v>3730</v>
      </c>
      <c r="K15" s="2">
        <v>800000000000</v>
      </c>
      <c r="L15">
        <v>2523</v>
      </c>
      <c r="M15">
        <v>1207</v>
      </c>
      <c r="N15" s="2">
        <v>-23000000000000</v>
      </c>
      <c r="O15" s="2">
        <v>240000000000</v>
      </c>
      <c r="P15">
        <f t="shared" si="1"/>
        <v>0.26809651474530832</v>
      </c>
    </row>
    <row r="16" spans="1:16" x14ac:dyDescent="0.2">
      <c r="A16">
        <v>87</v>
      </c>
      <c r="B16">
        <v>22</v>
      </c>
      <c r="C16">
        <v>1187</v>
      </c>
      <c r="D16">
        <v>8740</v>
      </c>
      <c r="E16">
        <f t="shared" si="4"/>
        <v>523</v>
      </c>
      <c r="F16">
        <f t="shared" si="3"/>
        <v>14236.363636363636</v>
      </c>
      <c r="G16">
        <f t="shared" si="5"/>
        <v>39.029850746268643</v>
      </c>
      <c r="H16">
        <f t="shared" si="2"/>
        <v>3.6736909323116219E-2</v>
      </c>
      <c r="I16">
        <f t="shared" si="0"/>
        <v>3.6736909323116218</v>
      </c>
      <c r="J16">
        <v>3730</v>
      </c>
      <c r="K16" s="2">
        <v>800000000000</v>
      </c>
      <c r="L16">
        <v>2523</v>
      </c>
      <c r="M16">
        <v>1207</v>
      </c>
      <c r="N16" s="2">
        <v>-23000000000000</v>
      </c>
      <c r="O16" s="2">
        <v>240000000000</v>
      </c>
      <c r="P16">
        <f t="shared" si="1"/>
        <v>0.26809651474530832</v>
      </c>
    </row>
    <row r="17" spans="1:16" x14ac:dyDescent="0.2">
      <c r="A17">
        <v>90</v>
      </c>
      <c r="B17">
        <v>22</v>
      </c>
      <c r="C17">
        <v>1307</v>
      </c>
      <c r="D17">
        <v>8740</v>
      </c>
      <c r="E17">
        <f t="shared" si="4"/>
        <v>120</v>
      </c>
      <c r="F17">
        <f t="shared" si="3"/>
        <v>14727.272727272726</v>
      </c>
      <c r="G17">
        <f t="shared" si="5"/>
        <v>40</v>
      </c>
      <c r="H17">
        <f t="shared" si="2"/>
        <v>8.1481481481481492E-3</v>
      </c>
      <c r="I17">
        <f t="shared" si="0"/>
        <v>0.81481481481481488</v>
      </c>
      <c r="J17">
        <v>3730</v>
      </c>
      <c r="K17" s="2">
        <v>800000000000</v>
      </c>
      <c r="L17">
        <v>2523</v>
      </c>
      <c r="M17">
        <v>1207</v>
      </c>
      <c r="N17" s="2">
        <v>-23000000000000</v>
      </c>
      <c r="O17" s="2">
        <v>240000000000</v>
      </c>
      <c r="P17">
        <f t="shared" si="1"/>
        <v>0.26809651474530832</v>
      </c>
    </row>
    <row r="18" spans="1:16" x14ac:dyDescent="0.2">
      <c r="A18">
        <v>95</v>
      </c>
      <c r="B18">
        <v>22</v>
      </c>
      <c r="C18">
        <v>1505</v>
      </c>
      <c r="D18">
        <v>8740</v>
      </c>
      <c r="E18">
        <f t="shared" si="4"/>
        <v>198</v>
      </c>
      <c r="F18">
        <f t="shared" si="3"/>
        <v>15545.454545454544</v>
      </c>
      <c r="G18">
        <f t="shared" si="5"/>
        <v>39.6</v>
      </c>
      <c r="H18">
        <f t="shared" si="2"/>
        <v>1.2736842105263159E-2</v>
      </c>
      <c r="I18">
        <f t="shared" si="0"/>
        <v>1.273684210526316</v>
      </c>
      <c r="J18">
        <v>3730</v>
      </c>
      <c r="K18" s="2">
        <v>800000000000</v>
      </c>
      <c r="L18">
        <v>2523</v>
      </c>
      <c r="M18">
        <v>1207</v>
      </c>
      <c r="N18" s="2">
        <v>-23000000000000</v>
      </c>
      <c r="O18" s="2">
        <v>240000000000</v>
      </c>
      <c r="P18">
        <f t="shared" si="1"/>
        <v>0.26809651474530832</v>
      </c>
    </row>
    <row r="19" spans="1:16" x14ac:dyDescent="0.2">
      <c r="A19">
        <v>102.5</v>
      </c>
      <c r="B19">
        <v>22</v>
      </c>
      <c r="C19">
        <v>1795</v>
      </c>
      <c r="D19">
        <v>8740</v>
      </c>
      <c r="E19">
        <f t="shared" si="4"/>
        <v>290</v>
      </c>
      <c r="F19">
        <f t="shared" si="3"/>
        <v>16772.727272727272</v>
      </c>
      <c r="G19">
        <f t="shared" si="5"/>
        <v>38.666666666666664</v>
      </c>
      <c r="H19">
        <f t="shared" si="2"/>
        <v>1.7289972899728997E-2</v>
      </c>
      <c r="I19">
        <f t="shared" si="0"/>
        <v>1.7289972899728996</v>
      </c>
      <c r="J19">
        <v>3730</v>
      </c>
      <c r="K19" s="2">
        <v>800000000000</v>
      </c>
      <c r="L19">
        <v>2523</v>
      </c>
      <c r="M19">
        <v>1207</v>
      </c>
      <c r="N19" s="2">
        <v>-23000000000000</v>
      </c>
      <c r="O19" s="2">
        <v>240000000000</v>
      </c>
      <c r="P19">
        <f t="shared" si="1"/>
        <v>0.26809651474530832</v>
      </c>
    </row>
    <row r="20" spans="1:16" x14ac:dyDescent="0.2">
      <c r="A20">
        <v>107.5</v>
      </c>
      <c r="B20">
        <v>22</v>
      </c>
      <c r="C20">
        <v>1989</v>
      </c>
      <c r="D20">
        <v>8740</v>
      </c>
      <c r="E20">
        <f t="shared" si="4"/>
        <v>194</v>
      </c>
      <c r="F20">
        <f t="shared" si="3"/>
        <v>17590.909090909088</v>
      </c>
      <c r="G20">
        <f t="shared" si="5"/>
        <v>38.799999999999997</v>
      </c>
      <c r="H20">
        <f t="shared" si="2"/>
        <v>1.1028423772609821E-2</v>
      </c>
      <c r="I20">
        <f t="shared" si="0"/>
        <v>1.1028423772609821</v>
      </c>
      <c r="J20">
        <v>3730</v>
      </c>
      <c r="K20" s="2">
        <v>800000000000</v>
      </c>
      <c r="L20">
        <v>2523</v>
      </c>
      <c r="M20">
        <v>1207</v>
      </c>
      <c r="N20" s="2">
        <v>-23000000000000</v>
      </c>
      <c r="O20" s="2">
        <v>240000000000</v>
      </c>
      <c r="P20">
        <f t="shared" si="1"/>
        <v>0.26809651474530832</v>
      </c>
    </row>
    <row r="21" spans="1:16" x14ac:dyDescent="0.2">
      <c r="A21">
        <v>112.5</v>
      </c>
      <c r="B21">
        <v>22</v>
      </c>
      <c r="C21">
        <v>2182</v>
      </c>
      <c r="D21">
        <v>8740</v>
      </c>
      <c r="E21">
        <f t="shared" si="4"/>
        <v>193</v>
      </c>
      <c r="F21">
        <f t="shared" si="3"/>
        <v>18409.090909090908</v>
      </c>
      <c r="G21">
        <f t="shared" si="5"/>
        <v>38.6</v>
      </c>
      <c r="H21">
        <f t="shared" si="2"/>
        <v>1.0483950617283952E-2</v>
      </c>
      <c r="I21">
        <f t="shared" si="0"/>
        <v>1.0483950617283953</v>
      </c>
      <c r="J21">
        <v>3730</v>
      </c>
      <c r="K21" s="2">
        <v>800000000000</v>
      </c>
      <c r="L21">
        <v>2523</v>
      </c>
      <c r="M21">
        <v>1207</v>
      </c>
      <c r="N21" s="2">
        <v>-23000000000000</v>
      </c>
      <c r="O21" s="2">
        <v>240000000000</v>
      </c>
      <c r="P21">
        <f t="shared" si="1"/>
        <v>0.26809651474530832</v>
      </c>
    </row>
    <row r="22" spans="1:16" x14ac:dyDescent="0.2">
      <c r="A22">
        <v>117.5</v>
      </c>
      <c r="B22">
        <v>22</v>
      </c>
      <c r="C22">
        <v>2380</v>
      </c>
      <c r="D22">
        <v>8740</v>
      </c>
      <c r="E22">
        <f t="shared" si="4"/>
        <v>198</v>
      </c>
      <c r="F22">
        <f t="shared" si="3"/>
        <v>19227.272727272724</v>
      </c>
      <c r="G22">
        <f t="shared" si="5"/>
        <v>39.6</v>
      </c>
      <c r="H22">
        <f t="shared" si="2"/>
        <v>1.0297872340425533E-2</v>
      </c>
      <c r="I22">
        <f t="shared" si="0"/>
        <v>1.0297872340425533</v>
      </c>
      <c r="J22">
        <v>3730</v>
      </c>
      <c r="K22" s="2">
        <v>800000000000</v>
      </c>
      <c r="L22">
        <v>2523</v>
      </c>
      <c r="M22">
        <v>1207</v>
      </c>
      <c r="N22" s="2">
        <v>-23000000000000</v>
      </c>
      <c r="O22" s="2">
        <v>240000000000</v>
      </c>
      <c r="P22">
        <f t="shared" si="1"/>
        <v>0.26809651474530832</v>
      </c>
    </row>
    <row r="23" spans="1:16" x14ac:dyDescent="0.2">
      <c r="A23">
        <v>120.5</v>
      </c>
      <c r="B23">
        <v>22</v>
      </c>
      <c r="C23">
        <v>2500</v>
      </c>
      <c r="D23">
        <v>8740</v>
      </c>
      <c r="E23">
        <f t="shared" si="4"/>
        <v>120</v>
      </c>
      <c r="F23">
        <f t="shared" si="3"/>
        <v>19718.181818181816</v>
      </c>
      <c r="G23">
        <f t="shared" si="5"/>
        <v>40</v>
      </c>
      <c r="H23">
        <f t="shared" si="2"/>
        <v>6.0857538035961282E-3</v>
      </c>
      <c r="I23">
        <f t="shared" si="0"/>
        <v>0.60857538035961278</v>
      </c>
      <c r="J23">
        <v>3730</v>
      </c>
      <c r="K23" s="2">
        <v>800000000000</v>
      </c>
      <c r="L23">
        <v>2523</v>
      </c>
      <c r="M23">
        <v>1207</v>
      </c>
      <c r="N23" s="2">
        <v>-23000000000000</v>
      </c>
      <c r="O23" s="2">
        <v>240000000000</v>
      </c>
      <c r="P23">
        <f t="shared" si="1"/>
        <v>0.26809651474530832</v>
      </c>
    </row>
    <row r="24" spans="1:16" x14ac:dyDescent="0.2">
      <c r="A24">
        <v>122.5</v>
      </c>
      <c r="B24">
        <v>22</v>
      </c>
      <c r="C24">
        <v>2580</v>
      </c>
      <c r="D24">
        <v>8740</v>
      </c>
      <c r="E24">
        <f t="shared" si="4"/>
        <v>80</v>
      </c>
      <c r="F24">
        <f t="shared" si="3"/>
        <v>20045.454545454544</v>
      </c>
      <c r="G24">
        <f t="shared" si="5"/>
        <v>40</v>
      </c>
      <c r="H24">
        <f t="shared" si="2"/>
        <v>3.9909297052154197E-3</v>
      </c>
      <c r="I24">
        <f t="shared" si="0"/>
        <v>0.39909297052154197</v>
      </c>
      <c r="J24">
        <v>3730</v>
      </c>
      <c r="K24" s="2">
        <v>800000000000</v>
      </c>
      <c r="L24">
        <v>2523</v>
      </c>
      <c r="M24">
        <v>1207</v>
      </c>
      <c r="N24" s="2">
        <v>-23000000000000</v>
      </c>
      <c r="O24" s="2">
        <v>240000000000</v>
      </c>
      <c r="P24">
        <f t="shared" si="1"/>
        <v>0.26809651474530832</v>
      </c>
    </row>
    <row r="25" spans="1:16" x14ac:dyDescent="0.2">
      <c r="A25">
        <v>127</v>
      </c>
      <c r="B25">
        <v>22</v>
      </c>
      <c r="C25">
        <v>2771</v>
      </c>
      <c r="D25">
        <f>(1000/3600)*(F25-F24)+D24</f>
        <v>8944.545454545454</v>
      </c>
      <c r="E25">
        <f t="shared" si="4"/>
        <v>191</v>
      </c>
      <c r="F25">
        <f t="shared" si="3"/>
        <v>20781.81818181818</v>
      </c>
      <c r="G25">
        <f t="shared" si="5"/>
        <v>42.444444444444443</v>
      </c>
      <c r="H25">
        <f t="shared" si="2"/>
        <v>9.1907261592300976E-3</v>
      </c>
      <c r="I25">
        <f t="shared" si="0"/>
        <v>0.91907261592300982</v>
      </c>
      <c r="J25">
        <v>3730</v>
      </c>
      <c r="K25" s="2">
        <v>800000000000</v>
      </c>
      <c r="L25">
        <v>2523</v>
      </c>
      <c r="M25">
        <v>1207</v>
      </c>
      <c r="N25" s="2">
        <v>-23000000000000</v>
      </c>
      <c r="O25" s="2">
        <v>240000000000</v>
      </c>
      <c r="P25">
        <f t="shared" si="1"/>
        <v>0.26809651474530832</v>
      </c>
    </row>
    <row r="26" spans="1:16" x14ac:dyDescent="0.2">
      <c r="A26">
        <v>137</v>
      </c>
      <c r="B26">
        <v>22</v>
      </c>
      <c r="C26">
        <v>3344</v>
      </c>
      <c r="D26">
        <f>(1000/3600)*(F26-F25)+D25</f>
        <v>9399.0909090909081</v>
      </c>
      <c r="E26">
        <f t="shared" si="4"/>
        <v>573</v>
      </c>
      <c r="F26">
        <f t="shared" si="3"/>
        <v>22418.181818181816</v>
      </c>
      <c r="G26">
        <f t="shared" si="5"/>
        <v>57.3</v>
      </c>
      <c r="H26">
        <f t="shared" si="2"/>
        <v>2.5559610705596109E-2</v>
      </c>
      <c r="I26">
        <f t="shared" si="0"/>
        <v>2.555961070559611</v>
      </c>
      <c r="J26">
        <v>3730</v>
      </c>
      <c r="K26" s="2">
        <v>800000000000</v>
      </c>
      <c r="L26">
        <v>2523</v>
      </c>
      <c r="M26">
        <v>1207</v>
      </c>
      <c r="N26" s="2">
        <v>-23000000000000</v>
      </c>
      <c r="O26" s="2">
        <v>240000000000</v>
      </c>
      <c r="P26">
        <f t="shared" si="1"/>
        <v>0.26809651474530832</v>
      </c>
    </row>
    <row r="27" spans="1:16" x14ac:dyDescent="0.2">
      <c r="A27">
        <v>138</v>
      </c>
      <c r="B27">
        <v>22</v>
      </c>
      <c r="C27">
        <v>3466</v>
      </c>
      <c r="D27">
        <f>(1000/3600)*(F27-F26)+D26</f>
        <v>9444.545454545454</v>
      </c>
      <c r="E27">
        <f t="shared" si="4"/>
        <v>122</v>
      </c>
      <c r="F27">
        <f t="shared" si="3"/>
        <v>22581.81818181818</v>
      </c>
      <c r="G27">
        <f t="shared" si="5"/>
        <v>122</v>
      </c>
      <c r="H27">
        <f t="shared" si="2"/>
        <v>5.4025764895330114E-3</v>
      </c>
      <c r="I27">
        <f t="shared" si="0"/>
        <v>0.54025764895330119</v>
      </c>
      <c r="J27">
        <v>3730</v>
      </c>
      <c r="K27" s="2">
        <v>800000000000</v>
      </c>
      <c r="L27">
        <v>2523</v>
      </c>
      <c r="M27">
        <v>1207</v>
      </c>
      <c r="N27" s="2">
        <v>-23000000000000</v>
      </c>
      <c r="O27" s="2">
        <v>240000000000</v>
      </c>
      <c r="P27">
        <f t="shared" si="1"/>
        <v>0.26809651474530832</v>
      </c>
    </row>
    <row r="28" spans="1:16" x14ac:dyDescent="0.2">
      <c r="A28">
        <v>139</v>
      </c>
      <c r="B28">
        <v>22</v>
      </c>
      <c r="C28">
        <v>3610</v>
      </c>
      <c r="D28">
        <f>(1000/3600)*(F28-F27)+D27</f>
        <v>9490</v>
      </c>
      <c r="E28">
        <f t="shared" si="4"/>
        <v>144</v>
      </c>
      <c r="F28">
        <f t="shared" si="3"/>
        <v>22745.454545454544</v>
      </c>
      <c r="G28">
        <f t="shared" si="5"/>
        <v>144</v>
      </c>
      <c r="H28">
        <f t="shared" si="2"/>
        <v>6.3309352517985614E-3</v>
      </c>
      <c r="I28">
        <f t="shared" si="0"/>
        <v>0.63309352517985618</v>
      </c>
      <c r="J28">
        <v>3730</v>
      </c>
      <c r="K28" s="2">
        <v>800000000000</v>
      </c>
      <c r="L28">
        <v>2523</v>
      </c>
      <c r="M28">
        <v>1207</v>
      </c>
      <c r="N28" s="2">
        <v>-23000000000000</v>
      </c>
      <c r="O28" s="2">
        <v>240000000000</v>
      </c>
      <c r="P28">
        <f t="shared" si="1"/>
        <v>0.26809651474530832</v>
      </c>
    </row>
    <row r="29" spans="1:16" x14ac:dyDescent="0.2">
      <c r="A29">
        <v>139.5</v>
      </c>
      <c r="B29">
        <v>22</v>
      </c>
      <c r="C29">
        <v>3640</v>
      </c>
      <c r="D29">
        <v>9490</v>
      </c>
      <c r="E29">
        <f t="shared" si="4"/>
        <v>30</v>
      </c>
      <c r="F29">
        <f t="shared" si="3"/>
        <v>22827.272727272724</v>
      </c>
      <c r="G29">
        <f t="shared" si="5"/>
        <v>60</v>
      </c>
      <c r="H29">
        <f t="shared" si="2"/>
        <v>1.3142174432497014E-3</v>
      </c>
      <c r="I29">
        <f t="shared" si="0"/>
        <v>0.13142174432497014</v>
      </c>
      <c r="J29">
        <v>3730</v>
      </c>
      <c r="K29" s="2">
        <v>800000000000</v>
      </c>
      <c r="L29">
        <v>2523</v>
      </c>
      <c r="M29">
        <v>1207</v>
      </c>
      <c r="N29" s="2">
        <v>-23000000000000</v>
      </c>
      <c r="O29" s="2">
        <v>240000000000</v>
      </c>
      <c r="P29">
        <f t="shared" si="1"/>
        <v>0.26809651474530832</v>
      </c>
    </row>
    <row r="30" spans="1:16" x14ac:dyDescent="0.2">
      <c r="A30">
        <v>140.5</v>
      </c>
      <c r="B30">
        <v>22</v>
      </c>
      <c r="C30">
        <v>3680</v>
      </c>
      <c r="D30">
        <v>9490</v>
      </c>
      <c r="E30">
        <f t="shared" si="4"/>
        <v>40</v>
      </c>
      <c r="F30">
        <f t="shared" si="3"/>
        <v>22990.909090909088</v>
      </c>
      <c r="G30">
        <f t="shared" si="5"/>
        <v>40</v>
      </c>
      <c r="H30">
        <f t="shared" si="2"/>
        <v>1.7398181099248717E-3</v>
      </c>
      <c r="I30">
        <f t="shared" si="0"/>
        <v>0.17398181099248716</v>
      </c>
      <c r="J30">
        <v>3730</v>
      </c>
      <c r="K30" s="2">
        <v>800000000000</v>
      </c>
      <c r="L30">
        <v>2523</v>
      </c>
      <c r="M30">
        <v>1207</v>
      </c>
      <c r="N30" s="2">
        <v>-23000000000000</v>
      </c>
      <c r="O30" s="2">
        <v>240000000000</v>
      </c>
      <c r="P30">
        <f t="shared" si="1"/>
        <v>0.26809651474530832</v>
      </c>
    </row>
    <row r="31" spans="1:16" x14ac:dyDescent="0.2">
      <c r="A31">
        <v>141</v>
      </c>
      <c r="B31">
        <v>22</v>
      </c>
      <c r="C31">
        <v>3702</v>
      </c>
      <c r="D31">
        <v>9490</v>
      </c>
      <c r="E31">
        <f t="shared" si="4"/>
        <v>22</v>
      </c>
      <c r="F31">
        <f t="shared" si="3"/>
        <v>23072.727272727272</v>
      </c>
      <c r="G31">
        <f t="shared" si="5"/>
        <v>44</v>
      </c>
      <c r="H31">
        <f t="shared" si="2"/>
        <v>9.5350669818754924E-4</v>
      </c>
      <c r="I31">
        <f t="shared" si="0"/>
        <v>9.5350669818754924E-2</v>
      </c>
      <c r="J31">
        <v>3730</v>
      </c>
      <c r="K31" s="2">
        <v>800000000000</v>
      </c>
      <c r="L31">
        <v>2523</v>
      </c>
      <c r="M31">
        <v>1207</v>
      </c>
      <c r="N31" s="2">
        <v>-23000000000000</v>
      </c>
      <c r="O31" s="2">
        <v>240000000000</v>
      </c>
      <c r="P31">
        <f t="shared" si="1"/>
        <v>0.26809651474530832</v>
      </c>
    </row>
    <row r="32" spans="1:16" x14ac:dyDescent="0.2">
      <c r="A32">
        <v>142</v>
      </c>
      <c r="B32">
        <v>22</v>
      </c>
      <c r="C32">
        <v>3694</v>
      </c>
      <c r="D32">
        <v>9490</v>
      </c>
      <c r="E32">
        <f t="shared" si="4"/>
        <v>-8</v>
      </c>
      <c r="F32">
        <f t="shared" si="3"/>
        <v>23236.363636363636</v>
      </c>
      <c r="G32">
        <f t="shared" si="5"/>
        <v>-8</v>
      </c>
      <c r="H32">
        <f t="shared" si="2"/>
        <v>-3.4428794992175273E-4</v>
      </c>
      <c r="I32">
        <f t="shared" si="0"/>
        <v>-3.4428794992175271E-2</v>
      </c>
      <c r="J32">
        <v>3730</v>
      </c>
      <c r="K32" s="2">
        <v>800000000000</v>
      </c>
      <c r="L32">
        <v>2523</v>
      </c>
      <c r="M32">
        <v>1207</v>
      </c>
      <c r="N32" s="2">
        <v>-23000000000000</v>
      </c>
      <c r="O32" s="2">
        <v>240000000000</v>
      </c>
      <c r="P32">
        <f t="shared" si="1"/>
        <v>0.26809651474530832</v>
      </c>
    </row>
    <row r="33" spans="1:16" x14ac:dyDescent="0.2">
      <c r="A33">
        <v>153</v>
      </c>
      <c r="B33">
        <v>22</v>
      </c>
      <c r="C33">
        <v>3719</v>
      </c>
      <c r="D33">
        <v>9490</v>
      </c>
      <c r="E33">
        <f t="shared" si="4"/>
        <v>25</v>
      </c>
      <c r="F33">
        <f t="shared" si="3"/>
        <v>25036.363636363636</v>
      </c>
      <c r="G33">
        <f t="shared" si="5"/>
        <v>2.2727272727272729</v>
      </c>
      <c r="H33">
        <f t="shared" si="2"/>
        <v>9.9854756717501813E-4</v>
      </c>
      <c r="I33">
        <f t="shared" si="0"/>
        <v>9.9854756717501811E-2</v>
      </c>
      <c r="J33">
        <v>3730</v>
      </c>
      <c r="K33" s="2">
        <v>800000000000</v>
      </c>
      <c r="L33">
        <v>2523</v>
      </c>
      <c r="M33">
        <v>1207</v>
      </c>
      <c r="N33" s="2">
        <v>-23000000000000</v>
      </c>
      <c r="O33" s="2">
        <v>240000000000</v>
      </c>
      <c r="P33">
        <f t="shared" si="1"/>
        <v>0.26809651474530832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F379-AEEE-5C4D-B914-3AA4506F36B5}">
  <dimension ref="A1:P38"/>
  <sheetViews>
    <sheetView topLeftCell="N45" workbookViewId="0">
      <selection activeCell="S40" sqref="S40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C2">
        <v>4.18</v>
      </c>
      <c r="D2">
        <v>8720</v>
      </c>
      <c r="E2" cm="1">
        <f t="array" aca="1" ref="E2" ca="1">E2:G297</f>
        <v>0</v>
      </c>
      <c r="F2" cm="1">
        <f t="array" aca="1" ref="F2" ca="1">F2:H317</f>
        <v>0</v>
      </c>
      <c r="G2">
        <v>0</v>
      </c>
      <c r="H2">
        <v>0</v>
      </c>
      <c r="I2">
        <f>H2*100</f>
        <v>0</v>
      </c>
      <c r="J2">
        <v>3949</v>
      </c>
      <c r="K2" s="2">
        <v>50000000000000</v>
      </c>
      <c r="L2">
        <v>2780</v>
      </c>
      <c r="M2">
        <v>1169</v>
      </c>
      <c r="N2" s="2">
        <v>-80000000000000</v>
      </c>
      <c r="O2" s="2">
        <v>-2000000000000</v>
      </c>
      <c r="P2">
        <f>(100/3949)*100</f>
        <v>2.532286654849329</v>
      </c>
    </row>
    <row r="3" spans="1:16" x14ac:dyDescent="0.2">
      <c r="A3">
        <v>5</v>
      </c>
      <c r="B3">
        <v>40</v>
      </c>
      <c r="C3">
        <v>5.74</v>
      </c>
      <c r="D3">
        <v>8720</v>
      </c>
      <c r="E3">
        <f>C3-C2</f>
        <v>1.5600000000000005</v>
      </c>
      <c r="F3">
        <f>3600/B3*A3</f>
        <v>450</v>
      </c>
      <c r="G3">
        <f>E3/A3</f>
        <v>0.31200000000000011</v>
      </c>
      <c r="H3">
        <f>E3/(3600/B3*A3)</f>
        <v>3.4666666666666678E-3</v>
      </c>
      <c r="I3">
        <f t="shared" ref="I3:I38" si="0">H3*100</f>
        <v>0.34666666666666679</v>
      </c>
      <c r="J3">
        <v>3949</v>
      </c>
      <c r="K3" s="2">
        <v>50000000000000</v>
      </c>
      <c r="L3">
        <v>2780</v>
      </c>
      <c r="M3">
        <v>1169</v>
      </c>
      <c r="N3" s="2">
        <v>-80000000000000</v>
      </c>
      <c r="O3" s="2">
        <v>-2000000000000</v>
      </c>
      <c r="P3">
        <f t="shared" ref="P3:P38" si="1">(100/3949)*100</f>
        <v>2.532286654849329</v>
      </c>
    </row>
    <row r="4" spans="1:16" x14ac:dyDescent="0.2">
      <c r="A4">
        <v>10</v>
      </c>
      <c r="B4">
        <v>40</v>
      </c>
      <c r="C4">
        <v>7.09</v>
      </c>
      <c r="D4">
        <v>8720</v>
      </c>
      <c r="E4">
        <f>C4-C3</f>
        <v>1.3499999999999996</v>
      </c>
      <c r="F4">
        <f>3600/B4*A4</f>
        <v>900</v>
      </c>
      <c r="G4">
        <f>E4/(A4-A3)</f>
        <v>0.26999999999999991</v>
      </c>
      <c r="H4">
        <f t="shared" ref="H4:H38" si="2">E4/(3600/B4*A4)</f>
        <v>1.4999999999999996E-3</v>
      </c>
      <c r="I4">
        <f t="shared" si="0"/>
        <v>0.14999999999999997</v>
      </c>
      <c r="J4">
        <v>3949</v>
      </c>
      <c r="K4" s="2">
        <v>50000000000000</v>
      </c>
      <c r="L4">
        <v>2780</v>
      </c>
      <c r="M4">
        <v>1169</v>
      </c>
      <c r="N4" s="2">
        <v>-80000000000000</v>
      </c>
      <c r="O4" s="2">
        <v>-2000000000000</v>
      </c>
      <c r="P4">
        <f t="shared" si="1"/>
        <v>2.532286654849329</v>
      </c>
    </row>
    <row r="5" spans="1:16" x14ac:dyDescent="0.2">
      <c r="A5">
        <v>13</v>
      </c>
      <c r="B5">
        <v>22</v>
      </c>
      <c r="C5">
        <v>7.95</v>
      </c>
      <c r="D5">
        <v>8700</v>
      </c>
      <c r="E5">
        <f>C5-C4</f>
        <v>0.86000000000000032</v>
      </c>
      <c r="F5">
        <f t="shared" ref="F5:F38" si="3">3600/B5*A5</f>
        <v>2127.272727272727</v>
      </c>
      <c r="G5">
        <f>E5/(A5-A4)</f>
        <v>0.28666666666666679</v>
      </c>
      <c r="H5">
        <f t="shared" si="2"/>
        <v>4.0427350427350449E-4</v>
      </c>
      <c r="I5">
        <f t="shared" si="0"/>
        <v>4.0427350427350447E-2</v>
      </c>
      <c r="J5">
        <v>3949</v>
      </c>
      <c r="K5" s="2">
        <v>50000000000000</v>
      </c>
      <c r="L5">
        <v>2780</v>
      </c>
      <c r="M5">
        <v>1169</v>
      </c>
      <c r="N5" s="2">
        <v>-80000000000000</v>
      </c>
      <c r="O5" s="2">
        <v>-2000000000000</v>
      </c>
      <c r="P5">
        <f t="shared" si="1"/>
        <v>2.532286654849329</v>
      </c>
    </row>
    <row r="6" spans="1:16" x14ac:dyDescent="0.2">
      <c r="A6">
        <v>16</v>
      </c>
      <c r="B6">
        <v>22</v>
      </c>
      <c r="C6">
        <v>8.85</v>
      </c>
      <c r="D6">
        <v>8700</v>
      </c>
      <c r="E6">
        <f t="shared" ref="E6:E38" si="4">C6-C5</f>
        <v>0.89999999999999947</v>
      </c>
      <c r="F6">
        <f t="shared" si="3"/>
        <v>2618.181818181818</v>
      </c>
      <c r="G6">
        <f t="shared" ref="G6:G38" si="5">E6/(A6-A5)</f>
        <v>0.29999999999999982</v>
      </c>
      <c r="H6">
        <f t="shared" si="2"/>
        <v>3.4374999999999982E-4</v>
      </c>
      <c r="I6">
        <f t="shared" si="0"/>
        <v>3.4374999999999982E-2</v>
      </c>
      <c r="J6">
        <v>3949</v>
      </c>
      <c r="K6" s="2">
        <v>50000000000000</v>
      </c>
      <c r="L6">
        <v>2780</v>
      </c>
      <c r="M6">
        <v>1169</v>
      </c>
      <c r="N6" s="2">
        <v>-80000000000000</v>
      </c>
      <c r="O6" s="2">
        <v>-2000000000000</v>
      </c>
      <c r="P6">
        <f t="shared" si="1"/>
        <v>2.532286654849329</v>
      </c>
    </row>
    <row r="7" spans="1:16" x14ac:dyDescent="0.2">
      <c r="A7">
        <v>20</v>
      </c>
      <c r="B7">
        <v>22</v>
      </c>
      <c r="C7">
        <v>10.61</v>
      </c>
      <c r="D7">
        <v>8680</v>
      </c>
      <c r="E7">
        <f t="shared" si="4"/>
        <v>1.7599999999999998</v>
      </c>
      <c r="F7">
        <f t="shared" si="3"/>
        <v>3272.7272727272725</v>
      </c>
      <c r="G7">
        <f t="shared" si="5"/>
        <v>0.43999999999999995</v>
      </c>
      <c r="H7">
        <f t="shared" si="2"/>
        <v>5.3777777777777775E-4</v>
      </c>
      <c r="I7">
        <f t="shared" si="0"/>
        <v>5.3777777777777779E-2</v>
      </c>
      <c r="J7">
        <v>3949</v>
      </c>
      <c r="K7" s="2">
        <v>50000000000000</v>
      </c>
      <c r="L7">
        <v>2780</v>
      </c>
      <c r="M7">
        <v>1169</v>
      </c>
      <c r="N7" s="2">
        <v>-80000000000000</v>
      </c>
      <c r="O7" s="2">
        <v>-2000000000000</v>
      </c>
      <c r="P7">
        <f t="shared" si="1"/>
        <v>2.532286654849329</v>
      </c>
    </row>
    <row r="8" spans="1:16" x14ac:dyDescent="0.2">
      <c r="A8">
        <v>25</v>
      </c>
      <c r="B8">
        <v>22</v>
      </c>
      <c r="C8">
        <v>13.46</v>
      </c>
      <c r="D8">
        <v>8660</v>
      </c>
      <c r="E8">
        <f t="shared" si="4"/>
        <v>2.8500000000000014</v>
      </c>
      <c r="F8">
        <f t="shared" si="3"/>
        <v>4090.9090909090905</v>
      </c>
      <c r="G8">
        <f t="shared" si="5"/>
        <v>0.57000000000000028</v>
      </c>
      <c r="H8">
        <f t="shared" si="2"/>
        <v>6.9666666666666705E-4</v>
      </c>
      <c r="I8">
        <f t="shared" si="0"/>
        <v>6.966666666666671E-2</v>
      </c>
      <c r="J8">
        <v>3949</v>
      </c>
      <c r="K8" s="2">
        <v>50000000000000</v>
      </c>
      <c r="L8">
        <v>2780</v>
      </c>
      <c r="M8">
        <v>1169</v>
      </c>
      <c r="N8" s="2">
        <v>-80000000000000</v>
      </c>
      <c r="O8" s="2">
        <v>-2000000000000</v>
      </c>
      <c r="P8">
        <f t="shared" si="1"/>
        <v>2.532286654849329</v>
      </c>
    </row>
    <row r="9" spans="1:16" x14ac:dyDescent="0.2">
      <c r="A9">
        <v>30</v>
      </c>
      <c r="B9">
        <v>22</v>
      </c>
      <c r="C9">
        <v>17.96</v>
      </c>
      <c r="D9">
        <v>8640</v>
      </c>
      <c r="E9">
        <f t="shared" si="4"/>
        <v>4.5</v>
      </c>
      <c r="F9">
        <f t="shared" si="3"/>
        <v>4909.090909090909</v>
      </c>
      <c r="G9">
        <f t="shared" si="5"/>
        <v>0.9</v>
      </c>
      <c r="H9">
        <f t="shared" si="2"/>
        <v>9.1666666666666665E-4</v>
      </c>
      <c r="I9">
        <f t="shared" si="0"/>
        <v>9.166666666666666E-2</v>
      </c>
      <c r="J9">
        <v>3949</v>
      </c>
      <c r="K9" s="2">
        <v>50000000000000</v>
      </c>
      <c r="L9">
        <v>2780</v>
      </c>
      <c r="M9">
        <v>1169</v>
      </c>
      <c r="N9" s="2">
        <v>-80000000000000</v>
      </c>
      <c r="O9" s="2">
        <v>-2000000000000</v>
      </c>
      <c r="P9">
        <f t="shared" si="1"/>
        <v>2.532286654849329</v>
      </c>
    </row>
    <row r="10" spans="1:16" x14ac:dyDescent="0.2">
      <c r="A10">
        <v>35</v>
      </c>
      <c r="B10">
        <v>22</v>
      </c>
      <c r="C10">
        <v>24.95</v>
      </c>
      <c r="D10">
        <v>8620</v>
      </c>
      <c r="E10">
        <f t="shared" si="4"/>
        <v>6.9899999999999984</v>
      </c>
      <c r="F10">
        <f t="shared" si="3"/>
        <v>5727.272727272727</v>
      </c>
      <c r="G10">
        <f t="shared" si="5"/>
        <v>1.3979999999999997</v>
      </c>
      <c r="H10">
        <f t="shared" si="2"/>
        <v>1.2204761904761902E-3</v>
      </c>
      <c r="I10">
        <f t="shared" si="0"/>
        <v>0.12204761904761902</v>
      </c>
      <c r="J10">
        <v>3949</v>
      </c>
      <c r="K10" s="2">
        <v>50000000000000</v>
      </c>
      <c r="L10">
        <v>2780</v>
      </c>
      <c r="M10">
        <v>1169</v>
      </c>
      <c r="N10" s="2">
        <v>-80000000000000</v>
      </c>
      <c r="O10" s="2">
        <v>-2000000000000</v>
      </c>
      <c r="P10">
        <f t="shared" si="1"/>
        <v>2.532286654849329</v>
      </c>
    </row>
    <row r="11" spans="1:16" x14ac:dyDescent="0.2">
      <c r="A11">
        <v>40</v>
      </c>
      <c r="B11">
        <v>22</v>
      </c>
      <c r="C11">
        <v>34.53</v>
      </c>
      <c r="D11">
        <v>8620</v>
      </c>
      <c r="E11">
        <f t="shared" si="4"/>
        <v>9.5800000000000018</v>
      </c>
      <c r="F11">
        <f t="shared" si="3"/>
        <v>6545.454545454545</v>
      </c>
      <c r="G11">
        <f t="shared" si="5"/>
        <v>1.9160000000000004</v>
      </c>
      <c r="H11">
        <f t="shared" si="2"/>
        <v>1.4636111111111115E-3</v>
      </c>
      <c r="I11">
        <f t="shared" si="0"/>
        <v>0.14636111111111114</v>
      </c>
      <c r="J11">
        <v>3949</v>
      </c>
      <c r="K11" s="2">
        <v>50000000000000</v>
      </c>
      <c r="L11">
        <v>2780</v>
      </c>
      <c r="M11">
        <v>1169</v>
      </c>
      <c r="N11" s="2">
        <v>-80000000000000</v>
      </c>
      <c r="O11" s="2">
        <v>-2000000000000</v>
      </c>
      <c r="P11">
        <f t="shared" si="1"/>
        <v>2.532286654849329</v>
      </c>
    </row>
    <row r="12" spans="1:16" x14ac:dyDescent="0.2">
      <c r="A12">
        <v>45</v>
      </c>
      <c r="B12">
        <v>22</v>
      </c>
      <c r="C12">
        <v>50.97</v>
      </c>
      <c r="D12">
        <v>8620</v>
      </c>
      <c r="E12">
        <f t="shared" si="4"/>
        <v>16.439999999999998</v>
      </c>
      <c r="F12">
        <f t="shared" si="3"/>
        <v>7363.6363636363631</v>
      </c>
      <c r="G12">
        <f t="shared" si="5"/>
        <v>3.2879999999999994</v>
      </c>
      <c r="H12">
        <f t="shared" si="2"/>
        <v>2.2325925925925924E-3</v>
      </c>
      <c r="I12">
        <f t="shared" si="0"/>
        <v>0.22325925925925924</v>
      </c>
      <c r="J12">
        <v>3949</v>
      </c>
      <c r="K12" s="2">
        <v>50000000000000</v>
      </c>
      <c r="L12">
        <v>2780</v>
      </c>
      <c r="M12">
        <v>1169</v>
      </c>
      <c r="N12" s="2">
        <v>-80000000000000</v>
      </c>
      <c r="O12" s="2">
        <v>-2000000000000</v>
      </c>
      <c r="P12">
        <f t="shared" si="1"/>
        <v>2.532286654849329</v>
      </c>
    </row>
    <row r="13" spans="1:16" x14ac:dyDescent="0.2">
      <c r="A13">
        <v>48</v>
      </c>
      <c r="B13">
        <v>22</v>
      </c>
      <c r="C13">
        <v>65.3</v>
      </c>
      <c r="D13">
        <v>8620</v>
      </c>
      <c r="E13">
        <f t="shared" si="4"/>
        <v>14.329999999999998</v>
      </c>
      <c r="F13">
        <f t="shared" si="3"/>
        <v>7854.545454545454</v>
      </c>
      <c r="G13">
        <f t="shared" si="5"/>
        <v>4.7766666666666664</v>
      </c>
      <c r="H13">
        <f t="shared" si="2"/>
        <v>1.8244212962962962E-3</v>
      </c>
      <c r="I13">
        <f t="shared" si="0"/>
        <v>0.18244212962962963</v>
      </c>
      <c r="J13">
        <v>3949</v>
      </c>
      <c r="K13" s="2">
        <v>50000000000000</v>
      </c>
      <c r="L13">
        <v>2780</v>
      </c>
      <c r="M13">
        <v>1169</v>
      </c>
      <c r="N13" s="2">
        <v>-80000000000000</v>
      </c>
      <c r="O13" s="2">
        <v>-2000000000000</v>
      </c>
      <c r="P13">
        <f t="shared" si="1"/>
        <v>2.532286654849329</v>
      </c>
    </row>
    <row r="14" spans="1:16" x14ac:dyDescent="0.2">
      <c r="A14">
        <v>53</v>
      </c>
      <c r="B14">
        <v>22</v>
      </c>
      <c r="C14">
        <v>99.38</v>
      </c>
      <c r="D14">
        <v>8620</v>
      </c>
      <c r="E14">
        <f t="shared" si="4"/>
        <v>34.08</v>
      </c>
      <c r="F14">
        <f t="shared" si="3"/>
        <v>8672.7272727272721</v>
      </c>
      <c r="G14">
        <f t="shared" si="5"/>
        <v>6.8159999999999998</v>
      </c>
      <c r="H14">
        <f t="shared" si="2"/>
        <v>3.9295597484276731E-3</v>
      </c>
      <c r="I14">
        <f t="shared" si="0"/>
        <v>0.39295597484276734</v>
      </c>
      <c r="J14">
        <v>3949</v>
      </c>
      <c r="K14" s="2">
        <v>50000000000000</v>
      </c>
      <c r="L14">
        <v>2780</v>
      </c>
      <c r="M14">
        <v>1169</v>
      </c>
      <c r="N14" s="2">
        <v>-80000000000000</v>
      </c>
      <c r="O14" s="2">
        <v>-2000000000000</v>
      </c>
      <c r="P14">
        <f t="shared" si="1"/>
        <v>2.532286654849329</v>
      </c>
    </row>
    <row r="15" spans="1:16" x14ac:dyDescent="0.2">
      <c r="A15">
        <v>55</v>
      </c>
      <c r="B15">
        <v>22</v>
      </c>
      <c r="C15">
        <v>117</v>
      </c>
      <c r="D15">
        <v>8620</v>
      </c>
      <c r="E15">
        <f t="shared" si="4"/>
        <v>17.620000000000005</v>
      </c>
      <c r="F15">
        <f t="shared" si="3"/>
        <v>9000</v>
      </c>
      <c r="G15">
        <f t="shared" si="5"/>
        <v>8.8100000000000023</v>
      </c>
      <c r="H15">
        <f t="shared" si="2"/>
        <v>1.9577777777777783E-3</v>
      </c>
      <c r="I15">
        <f t="shared" si="0"/>
        <v>0.19577777777777783</v>
      </c>
      <c r="J15">
        <v>3949</v>
      </c>
      <c r="K15" s="2">
        <v>50000000000000</v>
      </c>
      <c r="L15">
        <v>2780</v>
      </c>
      <c r="M15">
        <v>1169</v>
      </c>
      <c r="N15" s="2">
        <v>-80000000000000</v>
      </c>
      <c r="O15" s="2">
        <v>-2000000000000</v>
      </c>
      <c r="P15">
        <f t="shared" si="1"/>
        <v>2.532286654849329</v>
      </c>
    </row>
    <row r="16" spans="1:16" x14ac:dyDescent="0.2">
      <c r="A16">
        <v>60</v>
      </c>
      <c r="B16">
        <v>22</v>
      </c>
      <c r="C16">
        <v>188</v>
      </c>
      <c r="D16">
        <v>8620</v>
      </c>
      <c r="E16">
        <f t="shared" si="4"/>
        <v>71</v>
      </c>
      <c r="F16">
        <f t="shared" si="3"/>
        <v>9818.181818181818</v>
      </c>
      <c r="G16">
        <f t="shared" si="5"/>
        <v>14.2</v>
      </c>
      <c r="H16">
        <f t="shared" si="2"/>
        <v>7.231481481481482E-3</v>
      </c>
      <c r="I16">
        <f t="shared" si="0"/>
        <v>0.72314814814814821</v>
      </c>
      <c r="J16">
        <v>3949</v>
      </c>
      <c r="K16" s="2">
        <v>50000000000000</v>
      </c>
      <c r="L16">
        <v>2780</v>
      </c>
      <c r="M16">
        <v>1169</v>
      </c>
      <c r="N16" s="2">
        <v>-80000000000000</v>
      </c>
      <c r="O16" s="2">
        <v>-2000000000000</v>
      </c>
      <c r="P16">
        <f t="shared" si="1"/>
        <v>2.532286654849329</v>
      </c>
    </row>
    <row r="17" spans="1:16" x14ac:dyDescent="0.2">
      <c r="A17">
        <v>65</v>
      </c>
      <c r="B17">
        <v>22</v>
      </c>
      <c r="C17">
        <v>303</v>
      </c>
      <c r="D17">
        <v>8620</v>
      </c>
      <c r="E17">
        <f t="shared" si="4"/>
        <v>115</v>
      </c>
      <c r="F17">
        <f t="shared" si="3"/>
        <v>10636.363636363636</v>
      </c>
      <c r="G17">
        <f t="shared" si="5"/>
        <v>23</v>
      </c>
      <c r="H17">
        <f t="shared" si="2"/>
        <v>1.0811965811965812E-2</v>
      </c>
      <c r="I17">
        <f t="shared" si="0"/>
        <v>1.0811965811965811</v>
      </c>
      <c r="J17">
        <v>3949</v>
      </c>
      <c r="K17" s="2">
        <v>50000000000000</v>
      </c>
      <c r="L17">
        <v>2780</v>
      </c>
      <c r="M17">
        <v>1169</v>
      </c>
      <c r="N17" s="2">
        <v>-80000000000000</v>
      </c>
      <c r="O17" s="2">
        <v>-2000000000000</v>
      </c>
      <c r="P17">
        <f t="shared" si="1"/>
        <v>2.532286654849329</v>
      </c>
    </row>
    <row r="18" spans="1:16" x14ac:dyDescent="0.2">
      <c r="A18">
        <v>70</v>
      </c>
      <c r="B18">
        <v>22</v>
      </c>
      <c r="C18">
        <v>476</v>
      </c>
      <c r="D18">
        <v>8720</v>
      </c>
      <c r="E18">
        <f t="shared" si="4"/>
        <v>173</v>
      </c>
      <c r="F18">
        <f t="shared" si="3"/>
        <v>11454.545454545454</v>
      </c>
      <c r="G18">
        <f t="shared" si="5"/>
        <v>34.6</v>
      </c>
      <c r="H18">
        <f t="shared" si="2"/>
        <v>1.5103174603174604E-2</v>
      </c>
      <c r="I18">
        <f t="shared" si="0"/>
        <v>1.5103174603174605</v>
      </c>
      <c r="J18">
        <v>3949</v>
      </c>
      <c r="K18" s="2">
        <v>50000000000000</v>
      </c>
      <c r="L18">
        <v>2780</v>
      </c>
      <c r="M18">
        <v>1169</v>
      </c>
      <c r="N18" s="2">
        <v>-80000000000000</v>
      </c>
      <c r="O18" s="2">
        <v>-2000000000000</v>
      </c>
      <c r="P18">
        <f t="shared" si="1"/>
        <v>2.532286654849329</v>
      </c>
    </row>
    <row r="19" spans="1:16" x14ac:dyDescent="0.2">
      <c r="A19">
        <v>75</v>
      </c>
      <c r="B19">
        <v>22</v>
      </c>
      <c r="C19">
        <v>661</v>
      </c>
      <c r="D19">
        <v>8720</v>
      </c>
      <c r="E19">
        <f t="shared" si="4"/>
        <v>185</v>
      </c>
      <c r="F19">
        <f t="shared" si="3"/>
        <v>12272.727272727272</v>
      </c>
      <c r="G19">
        <f t="shared" si="5"/>
        <v>37</v>
      </c>
      <c r="H19">
        <f t="shared" si="2"/>
        <v>1.5074074074074075E-2</v>
      </c>
      <c r="I19">
        <f t="shared" si="0"/>
        <v>1.5074074074074075</v>
      </c>
      <c r="J19">
        <v>3949</v>
      </c>
      <c r="K19" s="2">
        <v>50000000000000</v>
      </c>
      <c r="L19">
        <v>2780</v>
      </c>
      <c r="M19">
        <v>1169</v>
      </c>
      <c r="N19" s="2">
        <v>-80000000000000</v>
      </c>
      <c r="O19" s="2">
        <v>-2000000000000</v>
      </c>
      <c r="P19">
        <f t="shared" si="1"/>
        <v>2.532286654849329</v>
      </c>
    </row>
    <row r="20" spans="1:16" x14ac:dyDescent="0.2">
      <c r="A20">
        <v>77</v>
      </c>
      <c r="B20">
        <v>22</v>
      </c>
      <c r="C20">
        <v>772</v>
      </c>
      <c r="D20">
        <v>8760</v>
      </c>
      <c r="E20">
        <f t="shared" si="4"/>
        <v>111</v>
      </c>
      <c r="F20">
        <f t="shared" si="3"/>
        <v>12600</v>
      </c>
      <c r="G20">
        <f t="shared" si="5"/>
        <v>55.5</v>
      </c>
      <c r="H20">
        <f t="shared" si="2"/>
        <v>8.8095238095238088E-3</v>
      </c>
      <c r="I20">
        <f t="shared" si="0"/>
        <v>0.88095238095238093</v>
      </c>
      <c r="J20">
        <v>3949</v>
      </c>
      <c r="K20" s="2">
        <v>50000000000000</v>
      </c>
      <c r="L20">
        <v>2780</v>
      </c>
      <c r="M20">
        <v>1169</v>
      </c>
      <c r="N20" s="2">
        <v>-80000000000000</v>
      </c>
      <c r="O20" s="2">
        <v>-2000000000000</v>
      </c>
      <c r="P20">
        <f t="shared" si="1"/>
        <v>2.532286654849329</v>
      </c>
    </row>
    <row r="21" spans="1:16" x14ac:dyDescent="0.2">
      <c r="A21">
        <v>80</v>
      </c>
      <c r="B21">
        <v>22</v>
      </c>
      <c r="C21">
        <v>950</v>
      </c>
      <c r="D21">
        <v>8760</v>
      </c>
      <c r="E21">
        <f t="shared" si="4"/>
        <v>178</v>
      </c>
      <c r="F21">
        <f t="shared" si="3"/>
        <v>13090.90909090909</v>
      </c>
      <c r="G21">
        <f t="shared" si="5"/>
        <v>59.333333333333336</v>
      </c>
      <c r="H21">
        <f t="shared" si="2"/>
        <v>1.3597222222222222E-2</v>
      </c>
      <c r="I21">
        <f t="shared" si="0"/>
        <v>1.3597222222222223</v>
      </c>
      <c r="J21">
        <v>3949</v>
      </c>
      <c r="K21" s="2">
        <v>50000000000000</v>
      </c>
      <c r="L21">
        <v>2780</v>
      </c>
      <c r="M21">
        <v>1169</v>
      </c>
      <c r="N21" s="2">
        <v>-80000000000000</v>
      </c>
      <c r="O21" s="2">
        <v>-2000000000000</v>
      </c>
      <c r="P21">
        <f t="shared" si="1"/>
        <v>2.532286654849329</v>
      </c>
    </row>
    <row r="22" spans="1:16" x14ac:dyDescent="0.2">
      <c r="A22">
        <v>85.5</v>
      </c>
      <c r="B22">
        <v>22</v>
      </c>
      <c r="C22">
        <v>1296</v>
      </c>
      <c r="D22">
        <v>8760</v>
      </c>
      <c r="E22">
        <f t="shared" si="4"/>
        <v>346</v>
      </c>
      <c r="F22">
        <f t="shared" si="3"/>
        <v>13990.90909090909</v>
      </c>
      <c r="G22">
        <f t="shared" si="5"/>
        <v>62.909090909090907</v>
      </c>
      <c r="H22">
        <f t="shared" si="2"/>
        <v>2.4730344379467188E-2</v>
      </c>
      <c r="I22">
        <f t="shared" si="0"/>
        <v>2.4730344379467186</v>
      </c>
      <c r="J22">
        <v>3949</v>
      </c>
      <c r="K22" s="2">
        <v>50000000000000</v>
      </c>
      <c r="L22">
        <v>2780</v>
      </c>
      <c r="M22">
        <v>1169</v>
      </c>
      <c r="N22" s="2">
        <v>-80000000000000</v>
      </c>
      <c r="O22" s="2">
        <v>-2000000000000</v>
      </c>
      <c r="P22">
        <f t="shared" si="1"/>
        <v>2.532286654849329</v>
      </c>
    </row>
    <row r="23" spans="1:16" x14ac:dyDescent="0.2">
      <c r="A23">
        <v>91</v>
      </c>
      <c r="B23">
        <v>22</v>
      </c>
      <c r="C23">
        <v>1640</v>
      </c>
      <c r="D23">
        <v>8760</v>
      </c>
      <c r="E23">
        <f t="shared" si="4"/>
        <v>344</v>
      </c>
      <c r="F23">
        <f t="shared" si="3"/>
        <v>14890.90909090909</v>
      </c>
      <c r="G23">
        <f t="shared" si="5"/>
        <v>62.545454545454547</v>
      </c>
      <c r="H23">
        <f t="shared" si="2"/>
        <v>2.3101343101343104E-2</v>
      </c>
      <c r="I23">
        <f t="shared" si="0"/>
        <v>2.3101343101343104</v>
      </c>
      <c r="J23">
        <v>3949</v>
      </c>
      <c r="K23" s="2">
        <v>50000000000000</v>
      </c>
      <c r="L23">
        <v>2780</v>
      </c>
      <c r="M23">
        <v>1169</v>
      </c>
      <c r="N23" s="2">
        <v>-80000000000000</v>
      </c>
      <c r="O23" s="2">
        <v>-2000000000000</v>
      </c>
      <c r="P23">
        <f t="shared" si="1"/>
        <v>2.532286654849329</v>
      </c>
    </row>
    <row r="24" spans="1:16" x14ac:dyDescent="0.2">
      <c r="A24">
        <v>95.5</v>
      </c>
      <c r="B24">
        <v>22</v>
      </c>
      <c r="C24">
        <v>1896</v>
      </c>
      <c r="D24">
        <v>8760</v>
      </c>
      <c r="E24">
        <f t="shared" si="4"/>
        <v>256</v>
      </c>
      <c r="F24">
        <f t="shared" si="3"/>
        <v>15627.272727272726</v>
      </c>
      <c r="G24">
        <f t="shared" si="5"/>
        <v>56.888888888888886</v>
      </c>
      <c r="H24">
        <f t="shared" si="2"/>
        <v>1.6381617219313555E-2</v>
      </c>
      <c r="I24">
        <f t="shared" si="0"/>
        <v>1.6381617219313553</v>
      </c>
      <c r="J24">
        <v>3949</v>
      </c>
      <c r="K24" s="2">
        <v>50000000000000</v>
      </c>
      <c r="L24">
        <v>2780</v>
      </c>
      <c r="M24">
        <v>1169</v>
      </c>
      <c r="N24" s="2">
        <v>-80000000000000</v>
      </c>
      <c r="O24" s="2">
        <v>-2000000000000</v>
      </c>
      <c r="P24">
        <f t="shared" si="1"/>
        <v>2.532286654849329</v>
      </c>
    </row>
    <row r="25" spans="1:16" x14ac:dyDescent="0.2">
      <c r="A25">
        <v>100</v>
      </c>
      <c r="B25">
        <v>22</v>
      </c>
      <c r="C25">
        <v>2137</v>
      </c>
      <c r="D25">
        <v>8760</v>
      </c>
      <c r="E25">
        <f t="shared" si="4"/>
        <v>241</v>
      </c>
      <c r="F25">
        <f t="shared" si="3"/>
        <v>16363.636363636362</v>
      </c>
      <c r="G25">
        <f t="shared" si="5"/>
        <v>53.555555555555557</v>
      </c>
      <c r="H25">
        <f t="shared" si="2"/>
        <v>1.4727777777777779E-2</v>
      </c>
      <c r="I25">
        <f t="shared" si="0"/>
        <v>1.472777777777778</v>
      </c>
      <c r="J25">
        <v>3949</v>
      </c>
      <c r="K25" s="2">
        <v>50000000000000</v>
      </c>
      <c r="L25">
        <v>2780</v>
      </c>
      <c r="M25">
        <v>1169</v>
      </c>
      <c r="N25" s="2">
        <v>-80000000000000</v>
      </c>
      <c r="O25" s="2">
        <v>-2000000000000</v>
      </c>
      <c r="P25">
        <f t="shared" si="1"/>
        <v>2.532286654849329</v>
      </c>
    </row>
    <row r="26" spans="1:16" x14ac:dyDescent="0.2">
      <c r="A26">
        <v>105</v>
      </c>
      <c r="B26">
        <v>22</v>
      </c>
      <c r="C26">
        <v>2379</v>
      </c>
      <c r="D26">
        <v>8760</v>
      </c>
      <c r="E26">
        <f t="shared" si="4"/>
        <v>242</v>
      </c>
      <c r="F26">
        <f t="shared" si="3"/>
        <v>17181.81818181818</v>
      </c>
      <c r="G26">
        <f t="shared" si="5"/>
        <v>48.4</v>
      </c>
      <c r="H26">
        <f t="shared" si="2"/>
        <v>1.4084656084656085E-2</v>
      </c>
      <c r="I26">
        <f t="shared" si="0"/>
        <v>1.4084656084656084</v>
      </c>
      <c r="J26">
        <v>3949</v>
      </c>
      <c r="K26" s="2">
        <v>50000000000000</v>
      </c>
      <c r="L26">
        <v>2780</v>
      </c>
      <c r="M26">
        <v>1169</v>
      </c>
      <c r="N26" s="2">
        <v>-80000000000000</v>
      </c>
      <c r="O26" s="2">
        <v>-2000000000000</v>
      </c>
      <c r="P26">
        <f t="shared" si="1"/>
        <v>2.532286654849329</v>
      </c>
    </row>
    <row r="27" spans="1:16" x14ac:dyDescent="0.2">
      <c r="A27">
        <v>110</v>
      </c>
      <c r="B27">
        <v>22</v>
      </c>
      <c r="C27">
        <v>2601</v>
      </c>
      <c r="D27">
        <v>8760</v>
      </c>
      <c r="E27">
        <f t="shared" si="4"/>
        <v>222</v>
      </c>
      <c r="F27">
        <f t="shared" si="3"/>
        <v>18000</v>
      </c>
      <c r="G27">
        <f t="shared" si="5"/>
        <v>44.4</v>
      </c>
      <c r="H27">
        <f t="shared" si="2"/>
        <v>1.2333333333333333E-2</v>
      </c>
      <c r="I27">
        <f t="shared" si="0"/>
        <v>1.2333333333333334</v>
      </c>
      <c r="J27">
        <v>3949</v>
      </c>
      <c r="K27" s="2">
        <v>50000000000000</v>
      </c>
      <c r="L27">
        <v>2780</v>
      </c>
      <c r="M27">
        <v>1169</v>
      </c>
      <c r="N27" s="2">
        <v>-80000000000000</v>
      </c>
      <c r="O27" s="2">
        <v>-2000000000000</v>
      </c>
      <c r="P27">
        <f t="shared" si="1"/>
        <v>2.532286654849329</v>
      </c>
    </row>
    <row r="28" spans="1:16" x14ac:dyDescent="0.2">
      <c r="A28">
        <v>113.4</v>
      </c>
      <c r="B28">
        <v>22</v>
      </c>
      <c r="C28">
        <v>2750</v>
      </c>
      <c r="D28">
        <v>8760</v>
      </c>
      <c r="E28">
        <f t="shared" si="4"/>
        <v>149</v>
      </c>
      <c r="F28">
        <f t="shared" si="3"/>
        <v>18556.363636363636</v>
      </c>
      <c r="G28">
        <f t="shared" si="5"/>
        <v>43.823529411764632</v>
      </c>
      <c r="H28">
        <f t="shared" si="2"/>
        <v>8.0295904369978438E-3</v>
      </c>
      <c r="I28">
        <f t="shared" si="0"/>
        <v>0.80295904369978444</v>
      </c>
      <c r="J28">
        <v>3949</v>
      </c>
      <c r="K28" s="2">
        <v>50000000000000</v>
      </c>
      <c r="L28">
        <v>2780</v>
      </c>
      <c r="M28">
        <v>1169</v>
      </c>
      <c r="N28" s="2">
        <v>-80000000000000</v>
      </c>
      <c r="O28" s="2">
        <v>-2000000000000</v>
      </c>
      <c r="P28">
        <f t="shared" si="1"/>
        <v>2.532286654849329</v>
      </c>
    </row>
    <row r="29" spans="1:16" x14ac:dyDescent="0.2">
      <c r="A29">
        <v>120</v>
      </c>
      <c r="B29">
        <v>22</v>
      </c>
      <c r="C29">
        <v>3016</v>
      </c>
      <c r="D29">
        <f>(1000/3600)*(F29-F28)+D28</f>
        <v>9060</v>
      </c>
      <c r="E29">
        <f t="shared" si="4"/>
        <v>266</v>
      </c>
      <c r="F29">
        <f t="shared" si="3"/>
        <v>19636.363636363636</v>
      </c>
      <c r="G29">
        <f t="shared" si="5"/>
        <v>40.30303030303034</v>
      </c>
      <c r="H29">
        <f t="shared" si="2"/>
        <v>1.3546296296296296E-2</v>
      </c>
      <c r="I29">
        <f t="shared" si="0"/>
        <v>1.3546296296296296</v>
      </c>
      <c r="J29">
        <v>3949</v>
      </c>
      <c r="K29" s="2">
        <v>50000000000000</v>
      </c>
      <c r="L29">
        <v>2780</v>
      </c>
      <c r="M29">
        <v>1169</v>
      </c>
      <c r="N29" s="2">
        <v>-80000000000000</v>
      </c>
      <c r="O29" s="2">
        <v>-2000000000000</v>
      </c>
      <c r="P29">
        <f t="shared" si="1"/>
        <v>2.532286654849329</v>
      </c>
    </row>
    <row r="30" spans="1:16" x14ac:dyDescent="0.2">
      <c r="A30">
        <v>125</v>
      </c>
      <c r="B30">
        <v>22</v>
      </c>
      <c r="C30">
        <v>3229</v>
      </c>
      <c r="D30">
        <f>(1000/3600)*(F30-F29)+D29</f>
        <v>9287.2727272727261</v>
      </c>
      <c r="E30">
        <f t="shared" si="4"/>
        <v>213</v>
      </c>
      <c r="F30">
        <f t="shared" si="3"/>
        <v>20454.545454545452</v>
      </c>
      <c r="G30">
        <f t="shared" si="5"/>
        <v>42.6</v>
      </c>
      <c r="H30">
        <f t="shared" si="2"/>
        <v>1.0413333333333335E-2</v>
      </c>
      <c r="I30">
        <f t="shared" si="0"/>
        <v>1.0413333333333334</v>
      </c>
      <c r="J30">
        <v>3949</v>
      </c>
      <c r="K30" s="2">
        <v>50000000000000</v>
      </c>
      <c r="L30">
        <v>2780</v>
      </c>
      <c r="M30">
        <v>1169</v>
      </c>
      <c r="N30" s="2">
        <v>-80000000000000</v>
      </c>
      <c r="O30" s="2">
        <v>-2000000000000</v>
      </c>
      <c r="P30">
        <f t="shared" si="1"/>
        <v>2.532286654849329</v>
      </c>
    </row>
    <row r="31" spans="1:16" x14ac:dyDescent="0.2">
      <c r="A31">
        <v>130.5</v>
      </c>
      <c r="B31">
        <v>22</v>
      </c>
      <c r="C31">
        <v>3448</v>
      </c>
      <c r="D31">
        <f>(1000/3600)*(F31-F30)+D30</f>
        <v>9537.2727272727261</v>
      </c>
      <c r="E31">
        <f t="shared" si="4"/>
        <v>219</v>
      </c>
      <c r="F31">
        <f t="shared" si="3"/>
        <v>21354.545454545452</v>
      </c>
      <c r="G31">
        <f t="shared" si="5"/>
        <v>39.81818181818182</v>
      </c>
      <c r="H31">
        <f t="shared" si="2"/>
        <v>1.0255427841634739E-2</v>
      </c>
      <c r="I31">
        <f t="shared" si="0"/>
        <v>1.0255427841634739</v>
      </c>
      <c r="J31">
        <v>3949</v>
      </c>
      <c r="K31" s="2">
        <v>50000000000000</v>
      </c>
      <c r="L31">
        <v>2780</v>
      </c>
      <c r="M31">
        <v>1169</v>
      </c>
      <c r="N31" s="2">
        <v>-80000000000000</v>
      </c>
      <c r="O31" s="2">
        <v>-2000000000000</v>
      </c>
      <c r="P31">
        <f t="shared" si="1"/>
        <v>2.532286654849329</v>
      </c>
    </row>
    <row r="32" spans="1:16" x14ac:dyDescent="0.2">
      <c r="A32">
        <v>133</v>
      </c>
      <c r="B32">
        <v>22</v>
      </c>
      <c r="C32">
        <v>3547</v>
      </c>
      <c r="D32">
        <f>(1000/3600)*(F32-F31)+D31</f>
        <v>9650.9090909090901</v>
      </c>
      <c r="E32">
        <f t="shared" si="4"/>
        <v>99</v>
      </c>
      <c r="F32">
        <f t="shared" si="3"/>
        <v>21763.636363636364</v>
      </c>
      <c r="G32">
        <f t="shared" si="5"/>
        <v>39.6</v>
      </c>
      <c r="H32">
        <f t="shared" si="2"/>
        <v>4.5488721804511278E-3</v>
      </c>
      <c r="I32">
        <f t="shared" si="0"/>
        <v>0.45488721804511278</v>
      </c>
      <c r="J32">
        <v>3949</v>
      </c>
      <c r="K32" s="2">
        <v>50000000000000</v>
      </c>
      <c r="L32">
        <v>2780</v>
      </c>
      <c r="M32">
        <v>1169</v>
      </c>
      <c r="N32" s="2">
        <v>-80000000000000</v>
      </c>
      <c r="O32" s="2">
        <v>-2000000000000</v>
      </c>
      <c r="P32">
        <f t="shared" si="1"/>
        <v>2.532286654849329</v>
      </c>
    </row>
    <row r="33" spans="1:16" x14ac:dyDescent="0.2">
      <c r="A33">
        <v>135</v>
      </c>
      <c r="B33">
        <v>22</v>
      </c>
      <c r="C33">
        <v>3625</v>
      </c>
      <c r="D33">
        <v>9650</v>
      </c>
      <c r="E33">
        <f t="shared" si="4"/>
        <v>78</v>
      </c>
      <c r="F33">
        <f t="shared" si="3"/>
        <v>22090.909090909088</v>
      </c>
      <c r="G33">
        <f t="shared" si="5"/>
        <v>39</v>
      </c>
      <c r="H33">
        <f t="shared" si="2"/>
        <v>3.5308641975308648E-3</v>
      </c>
      <c r="I33">
        <f t="shared" si="0"/>
        <v>0.35308641975308647</v>
      </c>
      <c r="J33">
        <v>3949</v>
      </c>
      <c r="K33" s="2">
        <v>50000000000000</v>
      </c>
      <c r="L33">
        <v>2780</v>
      </c>
      <c r="M33">
        <v>1169</v>
      </c>
      <c r="N33" s="2">
        <v>-80000000000000</v>
      </c>
      <c r="O33" s="2">
        <v>-2000000000000</v>
      </c>
      <c r="P33">
        <f t="shared" si="1"/>
        <v>2.532286654849329</v>
      </c>
    </row>
    <row r="34" spans="1:16" x14ac:dyDescent="0.2">
      <c r="A34">
        <v>139</v>
      </c>
      <c r="B34">
        <v>22</v>
      </c>
      <c r="C34">
        <v>3846</v>
      </c>
      <c r="D34">
        <v>9650</v>
      </c>
      <c r="E34">
        <f t="shared" si="4"/>
        <v>221</v>
      </c>
      <c r="F34">
        <f t="shared" si="3"/>
        <v>22745.454545454544</v>
      </c>
      <c r="G34">
        <f t="shared" si="5"/>
        <v>55.25</v>
      </c>
      <c r="H34">
        <f t="shared" si="2"/>
        <v>9.7162270183852924E-3</v>
      </c>
      <c r="I34">
        <f t="shared" si="0"/>
        <v>0.97162270183852928</v>
      </c>
      <c r="J34">
        <v>3949</v>
      </c>
      <c r="K34" s="2">
        <v>50000000000000</v>
      </c>
      <c r="L34">
        <v>2780</v>
      </c>
      <c r="M34">
        <v>1169</v>
      </c>
      <c r="N34" s="2">
        <v>-80000000000000</v>
      </c>
      <c r="O34" s="2">
        <v>-2000000000000</v>
      </c>
      <c r="P34">
        <f t="shared" si="1"/>
        <v>2.532286654849329</v>
      </c>
    </row>
    <row r="35" spans="1:16" x14ac:dyDescent="0.2">
      <c r="A35">
        <v>140</v>
      </c>
      <c r="B35">
        <v>22</v>
      </c>
      <c r="C35">
        <v>3883</v>
      </c>
      <c r="D35">
        <v>9650</v>
      </c>
      <c r="E35">
        <f t="shared" si="4"/>
        <v>37</v>
      </c>
      <c r="F35">
        <f t="shared" si="3"/>
        <v>22909.090909090908</v>
      </c>
      <c r="G35">
        <f t="shared" si="5"/>
        <v>37</v>
      </c>
      <c r="H35">
        <f t="shared" si="2"/>
        <v>1.6150793650793651E-3</v>
      </c>
      <c r="I35">
        <f t="shared" si="0"/>
        <v>0.16150793650793652</v>
      </c>
      <c r="J35">
        <v>3949</v>
      </c>
      <c r="K35" s="2">
        <v>50000000000000</v>
      </c>
      <c r="L35">
        <v>2780</v>
      </c>
      <c r="M35">
        <v>1169</v>
      </c>
      <c r="N35" s="2">
        <v>-80000000000000</v>
      </c>
      <c r="O35" s="2">
        <v>-2000000000000</v>
      </c>
      <c r="P35">
        <f t="shared" si="1"/>
        <v>2.532286654849329</v>
      </c>
    </row>
    <row r="36" spans="1:16" x14ac:dyDescent="0.2">
      <c r="A36">
        <v>141</v>
      </c>
      <c r="B36">
        <v>22</v>
      </c>
      <c r="C36">
        <v>3912</v>
      </c>
      <c r="D36">
        <v>9650</v>
      </c>
      <c r="E36">
        <f t="shared" si="4"/>
        <v>29</v>
      </c>
      <c r="F36">
        <f t="shared" si="3"/>
        <v>23072.727272727272</v>
      </c>
      <c r="G36">
        <f t="shared" si="5"/>
        <v>29</v>
      </c>
      <c r="H36">
        <f t="shared" si="2"/>
        <v>1.256895193065406E-3</v>
      </c>
      <c r="I36">
        <f t="shared" si="0"/>
        <v>0.1256895193065406</v>
      </c>
      <c r="J36">
        <v>3949</v>
      </c>
      <c r="K36" s="2">
        <v>50000000000000</v>
      </c>
      <c r="L36">
        <v>2780</v>
      </c>
      <c r="M36">
        <v>1169</v>
      </c>
      <c r="N36" s="2">
        <v>-80000000000000</v>
      </c>
      <c r="O36" s="2">
        <v>-2000000000000</v>
      </c>
      <c r="P36">
        <f t="shared" si="1"/>
        <v>2.532286654849329</v>
      </c>
    </row>
    <row r="37" spans="1:16" x14ac:dyDescent="0.2">
      <c r="A37">
        <v>142</v>
      </c>
      <c r="B37">
        <v>22</v>
      </c>
      <c r="C37">
        <v>3930</v>
      </c>
      <c r="D37">
        <v>9650</v>
      </c>
      <c r="E37">
        <f t="shared" si="4"/>
        <v>18</v>
      </c>
      <c r="F37">
        <f t="shared" si="3"/>
        <v>23236.363636363636</v>
      </c>
      <c r="G37">
        <f t="shared" si="5"/>
        <v>18</v>
      </c>
      <c r="H37">
        <f t="shared" si="2"/>
        <v>7.7464788732394365E-4</v>
      </c>
      <c r="I37">
        <f t="shared" si="0"/>
        <v>7.746478873239436E-2</v>
      </c>
      <c r="J37">
        <v>3949</v>
      </c>
      <c r="K37" s="2">
        <v>50000000000000</v>
      </c>
      <c r="L37">
        <v>2780</v>
      </c>
      <c r="M37">
        <v>1169</v>
      </c>
      <c r="N37" s="2">
        <v>-80000000000000</v>
      </c>
      <c r="O37" s="2">
        <v>-2000000000000</v>
      </c>
      <c r="P37">
        <f>(100/3949)*100</f>
        <v>2.532286654849329</v>
      </c>
    </row>
    <row r="38" spans="1:16" x14ac:dyDescent="0.2">
      <c r="A38">
        <v>144.5</v>
      </c>
      <c r="B38">
        <v>22</v>
      </c>
      <c r="C38">
        <v>3950</v>
      </c>
      <c r="D38">
        <v>9650</v>
      </c>
      <c r="E38">
        <f t="shared" si="4"/>
        <v>20</v>
      </c>
      <c r="F38">
        <f t="shared" si="3"/>
        <v>23645.454545454544</v>
      </c>
      <c r="G38">
        <f t="shared" si="5"/>
        <v>8</v>
      </c>
      <c r="H38">
        <f t="shared" si="2"/>
        <v>8.4582852748942721E-4</v>
      </c>
      <c r="I38">
        <f t="shared" si="0"/>
        <v>8.4582852748942727E-2</v>
      </c>
      <c r="J38">
        <v>3949</v>
      </c>
      <c r="K38" s="2">
        <v>50000000000000</v>
      </c>
      <c r="L38">
        <v>2780</v>
      </c>
      <c r="M38">
        <v>1169</v>
      </c>
      <c r="N38" s="2">
        <v>-80000000000000</v>
      </c>
      <c r="O38" s="2">
        <v>-2000000000000</v>
      </c>
      <c r="P38">
        <f t="shared" si="1"/>
        <v>2.532286654849329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266F3-B2C6-2042-93A4-B37F30F2B372}">
  <dimension ref="A1:P36"/>
  <sheetViews>
    <sheetView tabSelected="1" topLeftCell="I8" workbookViewId="0">
      <selection activeCell="I12" sqref="I12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0</v>
      </c>
      <c r="B2">
        <v>40</v>
      </c>
      <c r="C2">
        <v>4.97</v>
      </c>
      <c r="D2">
        <v>8700</v>
      </c>
      <c r="E2" cm="1">
        <f t="array" aca="1" ref="E2" ca="1">E2:G296</f>
        <v>0</v>
      </c>
      <c r="F2" cm="1">
        <f t="array" aca="1" ref="F2" ca="1">F2:H316</f>
        <v>0</v>
      </c>
      <c r="G2">
        <v>0</v>
      </c>
      <c r="H2">
        <v>0</v>
      </c>
      <c r="I2">
        <f>H2*100</f>
        <v>0</v>
      </c>
      <c r="J2">
        <v>4042</v>
      </c>
      <c r="K2" s="2">
        <v>800000000000</v>
      </c>
      <c r="L2">
        <v>2978</v>
      </c>
      <c r="M2">
        <v>1094</v>
      </c>
      <c r="N2" s="2">
        <v>-22000000000000</v>
      </c>
      <c r="O2" s="2">
        <v>-5000000000000</v>
      </c>
      <c r="P2">
        <f>(1329/4042)*100</f>
        <v>32.879762493814944</v>
      </c>
    </row>
    <row r="3" spans="1:16" x14ac:dyDescent="0.2">
      <c r="A3">
        <v>5.7</v>
      </c>
      <c r="B3">
        <v>40</v>
      </c>
      <c r="C3">
        <v>5.85</v>
      </c>
      <c r="D3">
        <v>8700</v>
      </c>
      <c r="E3">
        <f>C3-C2</f>
        <v>0.87999999999999989</v>
      </c>
      <c r="F3">
        <f>3600/B3*A3</f>
        <v>513</v>
      </c>
      <c r="G3">
        <f>E3/A3</f>
        <v>0.15438596491228068</v>
      </c>
      <c r="H3">
        <f>E3/(3600/B3*A3)</f>
        <v>1.715399610136452E-3</v>
      </c>
      <c r="I3">
        <f t="shared" ref="I3:I36" si="0">H3*100</f>
        <v>0.17153996101364521</v>
      </c>
      <c r="J3">
        <v>4042</v>
      </c>
      <c r="K3" s="2">
        <v>800000000000</v>
      </c>
      <c r="L3">
        <v>2978</v>
      </c>
      <c r="M3">
        <v>1094</v>
      </c>
      <c r="N3" s="2">
        <v>-22000000000000</v>
      </c>
      <c r="O3" s="2">
        <v>-5000000000000</v>
      </c>
      <c r="P3">
        <f t="shared" ref="P3:P35" si="1">(1329/4042)*100</f>
        <v>32.879762493814944</v>
      </c>
    </row>
    <row r="4" spans="1:16" x14ac:dyDescent="0.2">
      <c r="A4">
        <v>10</v>
      </c>
      <c r="B4">
        <v>40</v>
      </c>
      <c r="C4">
        <v>7.1</v>
      </c>
      <c r="D4">
        <v>8680</v>
      </c>
      <c r="E4">
        <f>C4-C3</f>
        <v>1.25</v>
      </c>
      <c r="F4">
        <f>3600/B4*A4</f>
        <v>900</v>
      </c>
      <c r="G4">
        <f>E4/(A4-A3)</f>
        <v>0.29069767441860467</v>
      </c>
      <c r="H4">
        <f t="shared" ref="H4:H36" si="2">E4/(3600/B4*A4)</f>
        <v>1.3888888888888889E-3</v>
      </c>
      <c r="I4">
        <f t="shared" si="0"/>
        <v>0.1388888888888889</v>
      </c>
      <c r="J4">
        <v>4042</v>
      </c>
      <c r="K4" s="2">
        <v>800000000000</v>
      </c>
      <c r="L4">
        <v>2978</v>
      </c>
      <c r="M4">
        <v>1094</v>
      </c>
      <c r="N4" s="2">
        <v>-22000000000000</v>
      </c>
      <c r="O4" s="2">
        <v>-5000000000000</v>
      </c>
      <c r="P4">
        <f t="shared" si="1"/>
        <v>32.879762493814944</v>
      </c>
    </row>
    <row r="5" spans="1:16" x14ac:dyDescent="0.2">
      <c r="A5">
        <v>15</v>
      </c>
      <c r="B5">
        <v>22</v>
      </c>
      <c r="C5">
        <v>8.7799999999999994</v>
      </c>
      <c r="D5">
        <v>8660</v>
      </c>
      <c r="E5">
        <f>C5-C4</f>
        <v>1.6799999999999997</v>
      </c>
      <c r="F5">
        <f t="shared" ref="F5:F36" si="3">3600/B5*A5</f>
        <v>2454.5454545454545</v>
      </c>
      <c r="G5">
        <f>E5/(A5-A4)</f>
        <v>0.33599999999999997</v>
      </c>
      <c r="H5">
        <f t="shared" si="2"/>
        <v>6.8444444444444434E-4</v>
      </c>
      <c r="I5">
        <f t="shared" si="0"/>
        <v>6.8444444444444433E-2</v>
      </c>
      <c r="J5">
        <v>4042</v>
      </c>
      <c r="K5" s="2">
        <v>800000000000</v>
      </c>
      <c r="L5">
        <v>2978</v>
      </c>
      <c r="M5">
        <v>1094</v>
      </c>
      <c r="N5" s="2">
        <v>-22000000000000</v>
      </c>
      <c r="O5" s="2">
        <v>-5000000000000</v>
      </c>
      <c r="P5">
        <f t="shared" si="1"/>
        <v>32.879762493814944</v>
      </c>
    </row>
    <row r="6" spans="1:16" x14ac:dyDescent="0.2">
      <c r="A6">
        <v>20</v>
      </c>
      <c r="B6">
        <v>22</v>
      </c>
      <c r="C6">
        <v>11.1</v>
      </c>
      <c r="D6">
        <v>8640</v>
      </c>
      <c r="E6">
        <f t="shared" ref="E6:E36" si="4">C6-C5</f>
        <v>2.3200000000000003</v>
      </c>
      <c r="F6">
        <f t="shared" si="3"/>
        <v>3272.7272727272725</v>
      </c>
      <c r="G6">
        <f t="shared" ref="G6:G36" si="5">E6/(A6-A5)</f>
        <v>0.46400000000000008</v>
      </c>
      <c r="H6">
        <f t="shared" si="2"/>
        <v>7.08888888888889E-4</v>
      </c>
      <c r="I6">
        <f t="shared" si="0"/>
        <v>7.0888888888888904E-2</v>
      </c>
      <c r="J6">
        <v>4042</v>
      </c>
      <c r="K6" s="2">
        <v>800000000000</v>
      </c>
      <c r="L6">
        <v>2978</v>
      </c>
      <c r="M6">
        <v>1094</v>
      </c>
      <c r="N6" s="2">
        <v>-22000000000000</v>
      </c>
      <c r="O6" s="2">
        <v>-5000000000000</v>
      </c>
      <c r="P6">
        <f t="shared" si="1"/>
        <v>32.879762493814944</v>
      </c>
    </row>
    <row r="7" spans="1:16" x14ac:dyDescent="0.2">
      <c r="A7">
        <v>25</v>
      </c>
      <c r="B7">
        <v>22</v>
      </c>
      <c r="C7">
        <v>14.48</v>
      </c>
      <c r="D7">
        <v>8620</v>
      </c>
      <c r="E7">
        <f t="shared" si="4"/>
        <v>3.3800000000000008</v>
      </c>
      <c r="F7">
        <f t="shared" si="3"/>
        <v>4090.9090909090905</v>
      </c>
      <c r="G7">
        <f t="shared" si="5"/>
        <v>0.67600000000000016</v>
      </c>
      <c r="H7">
        <f t="shared" si="2"/>
        <v>8.2622222222222244E-4</v>
      </c>
      <c r="I7">
        <f t="shared" si="0"/>
        <v>8.262222222222225E-2</v>
      </c>
      <c r="J7">
        <v>4042</v>
      </c>
      <c r="K7" s="2">
        <v>800000000000</v>
      </c>
      <c r="L7">
        <v>2978</v>
      </c>
      <c r="M7">
        <v>1094</v>
      </c>
      <c r="N7" s="2">
        <v>-22000000000000</v>
      </c>
      <c r="O7" s="2">
        <v>-5000000000000</v>
      </c>
      <c r="P7">
        <f t="shared" si="1"/>
        <v>32.879762493814944</v>
      </c>
    </row>
    <row r="8" spans="1:16" x14ac:dyDescent="0.2">
      <c r="A8">
        <v>30</v>
      </c>
      <c r="B8">
        <v>22</v>
      </c>
      <c r="C8">
        <v>19.350000000000001</v>
      </c>
      <c r="D8">
        <v>8600</v>
      </c>
      <c r="E8">
        <f t="shared" si="4"/>
        <v>4.870000000000001</v>
      </c>
      <c r="F8">
        <f t="shared" si="3"/>
        <v>4909.090909090909</v>
      </c>
      <c r="G8">
        <f t="shared" si="5"/>
        <v>0.9740000000000002</v>
      </c>
      <c r="H8">
        <f t="shared" si="2"/>
        <v>9.9203703703703715E-4</v>
      </c>
      <c r="I8">
        <f t="shared" si="0"/>
        <v>9.9203703703703711E-2</v>
      </c>
      <c r="J8">
        <v>4042</v>
      </c>
      <c r="K8" s="2">
        <v>800000000000</v>
      </c>
      <c r="L8">
        <v>2978</v>
      </c>
      <c r="M8">
        <v>1094</v>
      </c>
      <c r="N8" s="2">
        <v>-22000000000000</v>
      </c>
      <c r="O8" s="2">
        <v>-5000000000000</v>
      </c>
      <c r="P8">
        <f t="shared" si="1"/>
        <v>32.879762493814944</v>
      </c>
    </row>
    <row r="9" spans="1:16" x14ac:dyDescent="0.2">
      <c r="A9">
        <v>35</v>
      </c>
      <c r="B9">
        <v>22</v>
      </c>
      <c r="C9">
        <v>26.18</v>
      </c>
      <c r="D9">
        <v>8600</v>
      </c>
      <c r="E9">
        <f t="shared" si="4"/>
        <v>6.8299999999999983</v>
      </c>
      <c r="F9">
        <f t="shared" si="3"/>
        <v>5727.272727272727</v>
      </c>
      <c r="G9">
        <f t="shared" si="5"/>
        <v>1.3659999999999997</v>
      </c>
      <c r="H9">
        <f t="shared" si="2"/>
        <v>1.1925396825396824E-3</v>
      </c>
      <c r="I9">
        <f t="shared" si="0"/>
        <v>0.11925396825396824</v>
      </c>
      <c r="J9">
        <v>4042</v>
      </c>
      <c r="K9" s="2">
        <v>800000000000</v>
      </c>
      <c r="L9">
        <v>2978</v>
      </c>
      <c r="M9">
        <v>1094</v>
      </c>
      <c r="N9" s="2">
        <v>-22000000000000</v>
      </c>
      <c r="O9" s="2">
        <v>-5000000000000</v>
      </c>
      <c r="P9">
        <f t="shared" si="1"/>
        <v>32.879762493814944</v>
      </c>
    </row>
    <row r="10" spans="1:16" x14ac:dyDescent="0.2">
      <c r="A10">
        <v>40</v>
      </c>
      <c r="B10">
        <v>22</v>
      </c>
      <c r="C10">
        <v>37.409999999999997</v>
      </c>
      <c r="D10">
        <v>8600</v>
      </c>
      <c r="E10">
        <f t="shared" si="4"/>
        <v>11.229999999999997</v>
      </c>
      <c r="F10">
        <f t="shared" si="3"/>
        <v>6545.454545454545</v>
      </c>
      <c r="G10">
        <f t="shared" si="5"/>
        <v>2.2459999999999996</v>
      </c>
      <c r="H10">
        <f t="shared" si="2"/>
        <v>1.7156944444444442E-3</v>
      </c>
      <c r="I10">
        <f t="shared" si="0"/>
        <v>0.17156944444444441</v>
      </c>
      <c r="J10">
        <v>4042</v>
      </c>
      <c r="K10" s="2">
        <v>800000000000</v>
      </c>
      <c r="L10">
        <v>2978</v>
      </c>
      <c r="M10">
        <v>1094</v>
      </c>
      <c r="N10" s="2">
        <v>-22000000000000</v>
      </c>
      <c r="O10" s="2">
        <v>-5000000000000</v>
      </c>
      <c r="P10">
        <f t="shared" si="1"/>
        <v>32.879762493814944</v>
      </c>
    </row>
    <row r="11" spans="1:16" x14ac:dyDescent="0.2">
      <c r="A11">
        <v>45</v>
      </c>
      <c r="B11">
        <v>22</v>
      </c>
      <c r="C11">
        <v>53.99</v>
      </c>
      <c r="D11">
        <v>8600</v>
      </c>
      <c r="E11">
        <f t="shared" si="4"/>
        <v>16.580000000000005</v>
      </c>
      <c r="F11">
        <f t="shared" si="3"/>
        <v>7363.6363636363631</v>
      </c>
      <c r="G11">
        <f t="shared" si="5"/>
        <v>3.3160000000000012</v>
      </c>
      <c r="H11">
        <f t="shared" si="2"/>
        <v>2.2516049382716057E-3</v>
      </c>
      <c r="I11">
        <f t="shared" si="0"/>
        <v>0.22516049382716058</v>
      </c>
      <c r="J11">
        <v>4042</v>
      </c>
      <c r="K11" s="2">
        <v>800000000000</v>
      </c>
      <c r="L11">
        <v>2978</v>
      </c>
      <c r="M11">
        <v>1094</v>
      </c>
      <c r="N11" s="2">
        <v>-22000000000000</v>
      </c>
      <c r="O11" s="2">
        <v>-5000000000000</v>
      </c>
      <c r="P11">
        <f t="shared" si="1"/>
        <v>32.879762493814944</v>
      </c>
    </row>
    <row r="12" spans="1:16" x14ac:dyDescent="0.2">
      <c r="A12">
        <v>50.5</v>
      </c>
      <c r="B12">
        <v>22</v>
      </c>
      <c r="C12">
        <v>88</v>
      </c>
      <c r="D12">
        <v>8600</v>
      </c>
      <c r="E12">
        <f t="shared" si="4"/>
        <v>34.01</v>
      </c>
      <c r="F12">
        <f t="shared" si="3"/>
        <v>8263.636363636364</v>
      </c>
      <c r="G12">
        <f t="shared" si="5"/>
        <v>6.1836363636363636</v>
      </c>
      <c r="H12">
        <f t="shared" si="2"/>
        <v>4.1156215621562155E-3</v>
      </c>
      <c r="I12">
        <f t="shared" si="0"/>
        <v>0.41156215621562153</v>
      </c>
      <c r="J12">
        <v>4042</v>
      </c>
      <c r="K12" s="2">
        <v>800000000000</v>
      </c>
      <c r="L12">
        <v>2978</v>
      </c>
      <c r="M12">
        <v>1094</v>
      </c>
      <c r="N12" s="2">
        <v>-22000000000000</v>
      </c>
      <c r="O12" s="2">
        <v>-5000000000000</v>
      </c>
      <c r="P12">
        <f t="shared" si="1"/>
        <v>32.879762493814944</v>
      </c>
    </row>
    <row r="13" spans="1:16" x14ac:dyDescent="0.2">
      <c r="A13">
        <v>55.5</v>
      </c>
      <c r="B13">
        <v>22</v>
      </c>
      <c r="C13">
        <v>137</v>
      </c>
      <c r="D13">
        <v>8600</v>
      </c>
      <c r="E13">
        <f t="shared" si="4"/>
        <v>49</v>
      </c>
      <c r="F13">
        <f t="shared" si="3"/>
        <v>9081.818181818182</v>
      </c>
      <c r="G13">
        <f t="shared" si="5"/>
        <v>9.8000000000000007</v>
      </c>
      <c r="H13">
        <f t="shared" si="2"/>
        <v>5.3953953953953951E-3</v>
      </c>
      <c r="I13">
        <f t="shared" si="0"/>
        <v>0.53953953953953948</v>
      </c>
      <c r="J13">
        <v>4042</v>
      </c>
      <c r="K13" s="2">
        <v>800000000000</v>
      </c>
      <c r="L13">
        <v>2978</v>
      </c>
      <c r="M13">
        <v>1094</v>
      </c>
      <c r="N13" s="2">
        <v>-22000000000000</v>
      </c>
      <c r="O13" s="2">
        <v>-5000000000000</v>
      </c>
      <c r="P13">
        <f t="shared" si="1"/>
        <v>32.879762493814944</v>
      </c>
    </row>
    <row r="14" spans="1:16" x14ac:dyDescent="0.2">
      <c r="A14">
        <v>60</v>
      </c>
      <c r="B14">
        <v>22</v>
      </c>
      <c r="C14">
        <v>200</v>
      </c>
      <c r="D14">
        <v>8600</v>
      </c>
      <c r="E14">
        <f t="shared" si="4"/>
        <v>63</v>
      </c>
      <c r="F14">
        <f t="shared" si="3"/>
        <v>9818.181818181818</v>
      </c>
      <c r="G14">
        <f t="shared" si="5"/>
        <v>14</v>
      </c>
      <c r="H14">
        <f t="shared" si="2"/>
        <v>6.4166666666666669E-3</v>
      </c>
      <c r="I14">
        <f t="shared" si="0"/>
        <v>0.64166666666666672</v>
      </c>
      <c r="J14">
        <v>4042</v>
      </c>
      <c r="K14" s="2">
        <v>800000000000</v>
      </c>
      <c r="L14">
        <v>2978</v>
      </c>
      <c r="M14">
        <v>1094</v>
      </c>
      <c r="N14" s="2">
        <v>-22000000000000</v>
      </c>
      <c r="O14" s="2">
        <v>-5000000000000</v>
      </c>
      <c r="P14">
        <f t="shared" si="1"/>
        <v>32.879762493814944</v>
      </c>
    </row>
    <row r="15" spans="1:16" x14ac:dyDescent="0.2">
      <c r="A15">
        <v>65</v>
      </c>
      <c r="B15">
        <v>22</v>
      </c>
      <c r="C15">
        <v>295</v>
      </c>
      <c r="D15">
        <v>8600</v>
      </c>
      <c r="E15">
        <f t="shared" si="4"/>
        <v>95</v>
      </c>
      <c r="F15">
        <f t="shared" si="3"/>
        <v>10636.363636363636</v>
      </c>
      <c r="G15">
        <f t="shared" si="5"/>
        <v>19</v>
      </c>
      <c r="H15">
        <f t="shared" si="2"/>
        <v>8.9316239316239322E-3</v>
      </c>
      <c r="I15">
        <f t="shared" si="0"/>
        <v>0.89316239316239321</v>
      </c>
      <c r="J15">
        <v>4042</v>
      </c>
      <c r="K15" s="2">
        <v>800000000000</v>
      </c>
      <c r="L15">
        <v>2978</v>
      </c>
      <c r="M15">
        <v>1094</v>
      </c>
      <c r="N15" s="2">
        <v>-22000000000000</v>
      </c>
      <c r="O15" s="2">
        <v>-5000000000000</v>
      </c>
      <c r="P15">
        <f t="shared" si="1"/>
        <v>32.879762493814944</v>
      </c>
    </row>
    <row r="16" spans="1:16" x14ac:dyDescent="0.2">
      <c r="A16">
        <v>70.7</v>
      </c>
      <c r="B16">
        <v>22</v>
      </c>
      <c r="C16">
        <v>448</v>
      </c>
      <c r="D16">
        <v>8720</v>
      </c>
      <c r="E16">
        <f t="shared" si="4"/>
        <v>153</v>
      </c>
      <c r="F16">
        <f t="shared" si="3"/>
        <v>11569.090909090908</v>
      </c>
      <c r="G16">
        <f t="shared" si="5"/>
        <v>26.84210526315788</v>
      </c>
      <c r="H16">
        <f t="shared" si="2"/>
        <v>1.3224893917963226E-2</v>
      </c>
      <c r="I16">
        <f t="shared" si="0"/>
        <v>1.3224893917963225</v>
      </c>
      <c r="J16">
        <v>4042</v>
      </c>
      <c r="K16" s="2">
        <v>800000000000</v>
      </c>
      <c r="L16">
        <v>2978</v>
      </c>
      <c r="M16">
        <v>1094</v>
      </c>
      <c r="N16" s="2">
        <v>-22000000000000</v>
      </c>
      <c r="O16" s="2">
        <v>-5000000000000</v>
      </c>
      <c r="P16">
        <f t="shared" si="1"/>
        <v>32.879762493814944</v>
      </c>
    </row>
    <row r="17" spans="1:16" x14ac:dyDescent="0.2">
      <c r="A17">
        <v>75</v>
      </c>
      <c r="B17">
        <v>22</v>
      </c>
      <c r="C17">
        <v>590</v>
      </c>
      <c r="D17">
        <v>8720</v>
      </c>
      <c r="E17">
        <f t="shared" si="4"/>
        <v>142</v>
      </c>
      <c r="F17">
        <f t="shared" si="3"/>
        <v>12272.727272727272</v>
      </c>
      <c r="G17">
        <f t="shared" si="5"/>
        <v>33.023255813953512</v>
      </c>
      <c r="H17">
        <f t="shared" si="2"/>
        <v>1.1570370370370371E-2</v>
      </c>
      <c r="I17">
        <f t="shared" si="0"/>
        <v>1.1570370370370371</v>
      </c>
      <c r="J17">
        <v>4042</v>
      </c>
      <c r="K17" s="2">
        <v>800000000000</v>
      </c>
      <c r="L17">
        <v>2978</v>
      </c>
      <c r="M17">
        <v>1094</v>
      </c>
      <c r="N17" s="2">
        <v>-22000000000000</v>
      </c>
      <c r="O17" s="2">
        <v>-5000000000000</v>
      </c>
      <c r="P17">
        <f t="shared" si="1"/>
        <v>32.879762493814944</v>
      </c>
    </row>
    <row r="18" spans="1:16" x14ac:dyDescent="0.2">
      <c r="A18">
        <v>82</v>
      </c>
      <c r="B18">
        <v>22</v>
      </c>
      <c r="C18">
        <v>849</v>
      </c>
      <c r="D18">
        <v>8720</v>
      </c>
      <c r="E18">
        <f t="shared" si="4"/>
        <v>259</v>
      </c>
      <c r="F18">
        <f t="shared" si="3"/>
        <v>13418.181818181818</v>
      </c>
      <c r="G18">
        <f t="shared" si="5"/>
        <v>37</v>
      </c>
      <c r="H18">
        <f t="shared" si="2"/>
        <v>1.9302168021680218E-2</v>
      </c>
      <c r="I18">
        <f t="shared" si="0"/>
        <v>1.9302168021680217</v>
      </c>
      <c r="J18">
        <v>4042</v>
      </c>
      <c r="K18" s="2">
        <v>800000000000</v>
      </c>
      <c r="L18">
        <v>2978</v>
      </c>
      <c r="M18">
        <v>1094</v>
      </c>
      <c r="N18" s="2">
        <v>-22000000000000</v>
      </c>
      <c r="O18" s="2">
        <v>-5000000000000</v>
      </c>
      <c r="P18">
        <f t="shared" si="1"/>
        <v>32.879762493814944</v>
      </c>
    </row>
    <row r="19" spans="1:16" x14ac:dyDescent="0.2">
      <c r="A19">
        <v>90</v>
      </c>
      <c r="B19">
        <v>22</v>
      </c>
      <c r="C19">
        <v>1158</v>
      </c>
      <c r="D19">
        <v>8720</v>
      </c>
      <c r="E19">
        <f t="shared" si="4"/>
        <v>309</v>
      </c>
      <c r="F19">
        <f t="shared" si="3"/>
        <v>14727.272727272726</v>
      </c>
      <c r="G19">
        <f t="shared" si="5"/>
        <v>38.625</v>
      </c>
      <c r="H19">
        <f t="shared" si="2"/>
        <v>2.0981481481481483E-2</v>
      </c>
      <c r="I19">
        <f t="shared" si="0"/>
        <v>2.0981481481481481</v>
      </c>
      <c r="J19">
        <v>4042</v>
      </c>
      <c r="K19" s="2">
        <v>800000000000</v>
      </c>
      <c r="L19">
        <v>2978</v>
      </c>
      <c r="M19">
        <v>1094</v>
      </c>
      <c r="N19" s="2">
        <v>-22000000000000</v>
      </c>
      <c r="O19" s="2">
        <v>-5000000000000</v>
      </c>
      <c r="P19">
        <f t="shared" si="1"/>
        <v>32.879762493814944</v>
      </c>
    </row>
    <row r="20" spans="1:16" x14ac:dyDescent="0.2">
      <c r="A20">
        <v>96</v>
      </c>
      <c r="B20">
        <v>22</v>
      </c>
      <c r="C20">
        <v>1381</v>
      </c>
      <c r="D20">
        <v>8720</v>
      </c>
      <c r="E20">
        <f t="shared" si="4"/>
        <v>223</v>
      </c>
      <c r="F20">
        <f t="shared" si="3"/>
        <v>15709.090909090908</v>
      </c>
      <c r="G20">
        <f t="shared" si="5"/>
        <v>37.166666666666664</v>
      </c>
      <c r="H20">
        <f t="shared" si="2"/>
        <v>1.4195601851851853E-2</v>
      </c>
      <c r="I20">
        <f t="shared" si="0"/>
        <v>1.4195601851851853</v>
      </c>
      <c r="J20">
        <v>4042</v>
      </c>
      <c r="K20" s="2">
        <v>800000000000</v>
      </c>
      <c r="L20">
        <v>2978</v>
      </c>
      <c r="M20">
        <v>1094</v>
      </c>
      <c r="N20" s="2">
        <v>-22000000000000</v>
      </c>
      <c r="O20" s="2">
        <v>-5000000000000</v>
      </c>
      <c r="P20">
        <f t="shared" si="1"/>
        <v>32.879762493814944</v>
      </c>
    </row>
    <row r="21" spans="1:16" x14ac:dyDescent="0.2">
      <c r="A21">
        <v>101</v>
      </c>
      <c r="B21">
        <v>22</v>
      </c>
      <c r="C21">
        <v>1564</v>
      </c>
      <c r="D21">
        <v>8720</v>
      </c>
      <c r="E21">
        <f t="shared" si="4"/>
        <v>183</v>
      </c>
      <c r="F21">
        <f t="shared" si="3"/>
        <v>16527.272727272728</v>
      </c>
      <c r="G21">
        <f t="shared" si="5"/>
        <v>36.6</v>
      </c>
      <c r="H21">
        <f t="shared" si="2"/>
        <v>1.1072607260726073E-2</v>
      </c>
      <c r="I21">
        <f t="shared" si="0"/>
        <v>1.1072607260726073</v>
      </c>
      <c r="J21">
        <v>4042</v>
      </c>
      <c r="K21" s="2">
        <v>800000000000</v>
      </c>
      <c r="L21">
        <v>2978</v>
      </c>
      <c r="M21">
        <v>1094</v>
      </c>
      <c r="N21" s="2">
        <v>-22000000000000</v>
      </c>
      <c r="O21" s="2">
        <v>-5000000000000</v>
      </c>
      <c r="P21">
        <f t="shared" si="1"/>
        <v>32.879762493814944</v>
      </c>
    </row>
    <row r="22" spans="1:16" x14ac:dyDescent="0.2">
      <c r="A22">
        <v>106</v>
      </c>
      <c r="B22">
        <v>22</v>
      </c>
      <c r="C22">
        <v>1732</v>
      </c>
      <c r="D22">
        <v>8720</v>
      </c>
      <c r="E22">
        <f t="shared" si="4"/>
        <v>168</v>
      </c>
      <c r="F22">
        <f t="shared" si="3"/>
        <v>17345.454545454544</v>
      </c>
      <c r="G22">
        <f t="shared" si="5"/>
        <v>33.6</v>
      </c>
      <c r="H22">
        <f t="shared" si="2"/>
        <v>9.6855345911949688E-3</v>
      </c>
      <c r="I22">
        <f t="shared" si="0"/>
        <v>0.96855345911949686</v>
      </c>
      <c r="J22">
        <v>4042</v>
      </c>
      <c r="K22" s="2">
        <v>800000000000</v>
      </c>
      <c r="L22">
        <v>2978</v>
      </c>
      <c r="M22">
        <v>1094</v>
      </c>
      <c r="N22" s="2">
        <v>-22000000000000</v>
      </c>
      <c r="O22" s="2">
        <v>-5000000000000</v>
      </c>
      <c r="P22">
        <f t="shared" si="1"/>
        <v>32.879762493814944</v>
      </c>
    </row>
    <row r="23" spans="1:16" x14ac:dyDescent="0.2">
      <c r="A23">
        <v>111</v>
      </c>
      <c r="B23">
        <v>22</v>
      </c>
      <c r="C23">
        <v>1893</v>
      </c>
      <c r="D23">
        <v>8720</v>
      </c>
      <c r="E23">
        <f t="shared" si="4"/>
        <v>161</v>
      </c>
      <c r="F23">
        <f t="shared" si="3"/>
        <v>18163.636363636364</v>
      </c>
      <c r="G23">
        <f t="shared" si="5"/>
        <v>32.200000000000003</v>
      </c>
      <c r="H23">
        <f t="shared" si="2"/>
        <v>8.8638638638638637E-3</v>
      </c>
      <c r="I23">
        <f t="shared" si="0"/>
        <v>0.88638638638638634</v>
      </c>
      <c r="J23">
        <v>4042</v>
      </c>
      <c r="K23" s="2">
        <v>800000000000</v>
      </c>
      <c r="L23">
        <v>2978</v>
      </c>
      <c r="M23">
        <v>1094</v>
      </c>
      <c r="N23" s="2">
        <v>-22000000000000</v>
      </c>
      <c r="O23" s="2">
        <v>-5000000000000</v>
      </c>
      <c r="P23">
        <f t="shared" si="1"/>
        <v>32.879762493814944</v>
      </c>
    </row>
    <row r="24" spans="1:16" x14ac:dyDescent="0.2">
      <c r="A24">
        <v>116</v>
      </c>
      <c r="B24">
        <v>22</v>
      </c>
      <c r="C24">
        <v>2038</v>
      </c>
      <c r="D24">
        <v>8720</v>
      </c>
      <c r="E24">
        <f t="shared" si="4"/>
        <v>145</v>
      </c>
      <c r="F24">
        <f t="shared" si="3"/>
        <v>18981.81818181818</v>
      </c>
      <c r="G24">
        <f t="shared" si="5"/>
        <v>29</v>
      </c>
      <c r="H24">
        <f t="shared" si="2"/>
        <v>7.6388888888888895E-3</v>
      </c>
      <c r="I24">
        <f t="shared" si="0"/>
        <v>0.76388888888888895</v>
      </c>
      <c r="J24">
        <v>4042</v>
      </c>
      <c r="K24" s="2">
        <v>800000000000</v>
      </c>
      <c r="L24">
        <v>2978</v>
      </c>
      <c r="M24">
        <v>1094</v>
      </c>
      <c r="N24" s="2">
        <v>-22000000000000</v>
      </c>
      <c r="O24" s="2">
        <v>-5000000000000</v>
      </c>
      <c r="P24">
        <f t="shared" si="1"/>
        <v>32.879762493814944</v>
      </c>
    </row>
    <row r="25" spans="1:16" x14ac:dyDescent="0.2">
      <c r="A25">
        <v>121.5</v>
      </c>
      <c r="B25">
        <v>22</v>
      </c>
      <c r="C25">
        <v>2183</v>
      </c>
      <c r="D25">
        <v>8720</v>
      </c>
      <c r="E25">
        <f t="shared" si="4"/>
        <v>145</v>
      </c>
      <c r="F25">
        <f t="shared" si="3"/>
        <v>19881.81818181818</v>
      </c>
      <c r="G25">
        <f t="shared" si="5"/>
        <v>26.363636363636363</v>
      </c>
      <c r="H25">
        <f t="shared" si="2"/>
        <v>7.2930955647005037E-3</v>
      </c>
      <c r="I25">
        <f t="shared" si="0"/>
        <v>0.72930955647005036</v>
      </c>
      <c r="J25">
        <v>4042</v>
      </c>
      <c r="K25" s="2">
        <v>800000000000</v>
      </c>
      <c r="L25">
        <v>2978</v>
      </c>
      <c r="M25">
        <v>1094</v>
      </c>
      <c r="N25" s="2">
        <v>-22000000000000</v>
      </c>
      <c r="O25" s="2">
        <v>-5000000000000</v>
      </c>
      <c r="P25">
        <f t="shared" si="1"/>
        <v>32.879762493814944</v>
      </c>
    </row>
    <row r="26" spans="1:16" x14ac:dyDescent="0.2">
      <c r="A26">
        <v>126</v>
      </c>
      <c r="B26">
        <v>22</v>
      </c>
      <c r="C26">
        <v>2293</v>
      </c>
      <c r="D26">
        <v>8720</v>
      </c>
      <c r="E26">
        <f t="shared" si="4"/>
        <v>110</v>
      </c>
      <c r="F26">
        <f t="shared" si="3"/>
        <v>20618.181818181816</v>
      </c>
      <c r="G26">
        <f t="shared" si="5"/>
        <v>24.444444444444443</v>
      </c>
      <c r="H26">
        <f t="shared" si="2"/>
        <v>5.3350970017636687E-3</v>
      </c>
      <c r="I26">
        <f t="shared" si="0"/>
        <v>0.5335097001763669</v>
      </c>
      <c r="J26">
        <v>4042</v>
      </c>
      <c r="K26" s="2">
        <v>800000000000</v>
      </c>
      <c r="L26">
        <v>2978</v>
      </c>
      <c r="M26">
        <v>1094</v>
      </c>
      <c r="N26" s="2">
        <v>-22000000000000</v>
      </c>
      <c r="O26" s="2">
        <v>-5000000000000</v>
      </c>
      <c r="P26">
        <f t="shared" si="1"/>
        <v>32.879762493814944</v>
      </c>
    </row>
    <row r="27" spans="1:16" x14ac:dyDescent="0.2">
      <c r="A27">
        <v>130</v>
      </c>
      <c r="B27">
        <v>22</v>
      </c>
      <c r="C27">
        <v>2384</v>
      </c>
      <c r="D27">
        <v>8720</v>
      </c>
      <c r="E27">
        <f t="shared" si="4"/>
        <v>91</v>
      </c>
      <c r="F27">
        <f t="shared" si="3"/>
        <v>21272.727272727272</v>
      </c>
      <c r="G27">
        <f t="shared" si="5"/>
        <v>22.75</v>
      </c>
      <c r="H27">
        <f t="shared" si="2"/>
        <v>4.2777777777777779E-3</v>
      </c>
      <c r="I27">
        <f t="shared" si="0"/>
        <v>0.42777777777777781</v>
      </c>
      <c r="J27">
        <v>4042</v>
      </c>
      <c r="K27" s="2">
        <v>800000000000</v>
      </c>
      <c r="L27">
        <v>2978</v>
      </c>
      <c r="M27">
        <v>1094</v>
      </c>
      <c r="N27" s="2">
        <v>-22000000000000</v>
      </c>
      <c r="O27" s="2">
        <v>-5000000000000</v>
      </c>
      <c r="P27">
        <f t="shared" si="1"/>
        <v>32.879762493814944</v>
      </c>
    </row>
    <row r="28" spans="1:16" x14ac:dyDescent="0.2">
      <c r="A28">
        <v>136</v>
      </c>
      <c r="B28">
        <v>22</v>
      </c>
      <c r="C28">
        <v>2513</v>
      </c>
      <c r="D28">
        <v>8720</v>
      </c>
      <c r="E28">
        <f t="shared" si="4"/>
        <v>129</v>
      </c>
      <c r="F28">
        <f t="shared" si="3"/>
        <v>22254.545454545452</v>
      </c>
      <c r="G28">
        <f t="shared" si="5"/>
        <v>21.5</v>
      </c>
      <c r="H28">
        <f t="shared" si="2"/>
        <v>5.7965686274509811E-3</v>
      </c>
      <c r="I28">
        <f t="shared" si="0"/>
        <v>0.57965686274509809</v>
      </c>
      <c r="J28">
        <v>4042</v>
      </c>
      <c r="K28" s="2">
        <v>800000000000</v>
      </c>
      <c r="L28">
        <v>2978</v>
      </c>
      <c r="M28">
        <v>1094</v>
      </c>
      <c r="N28" s="2">
        <v>-22000000000000</v>
      </c>
      <c r="O28" s="2">
        <v>-5000000000000</v>
      </c>
      <c r="P28">
        <f t="shared" si="1"/>
        <v>32.879762493814944</v>
      </c>
    </row>
    <row r="29" spans="1:16" x14ac:dyDescent="0.2">
      <c r="A29">
        <v>140</v>
      </c>
      <c r="B29">
        <v>22</v>
      </c>
      <c r="C29">
        <v>2599</v>
      </c>
      <c r="D29">
        <v>8720</v>
      </c>
      <c r="E29">
        <f t="shared" si="4"/>
        <v>86</v>
      </c>
      <c r="F29">
        <f t="shared" si="3"/>
        <v>22909.090909090908</v>
      </c>
      <c r="G29">
        <f t="shared" si="5"/>
        <v>21.5</v>
      </c>
      <c r="H29">
        <f t="shared" si="2"/>
        <v>3.7539682539682543E-3</v>
      </c>
      <c r="I29">
        <f t="shared" si="0"/>
        <v>0.37539682539682545</v>
      </c>
      <c r="J29">
        <v>4042</v>
      </c>
      <c r="K29" s="2">
        <v>800000000000</v>
      </c>
      <c r="L29">
        <v>2978</v>
      </c>
      <c r="M29">
        <v>1094</v>
      </c>
      <c r="N29" s="2">
        <v>-22000000000000</v>
      </c>
      <c r="O29" s="2">
        <v>-5000000000000</v>
      </c>
      <c r="P29">
        <f t="shared" si="1"/>
        <v>32.879762493814944</v>
      </c>
    </row>
    <row r="30" spans="1:16" x14ac:dyDescent="0.2">
      <c r="A30">
        <v>145</v>
      </c>
      <c r="B30">
        <v>22</v>
      </c>
      <c r="C30">
        <v>2713</v>
      </c>
      <c r="D30">
        <v>8720</v>
      </c>
      <c r="E30">
        <f t="shared" si="4"/>
        <v>114</v>
      </c>
      <c r="F30">
        <f t="shared" si="3"/>
        <v>23727.272727272724</v>
      </c>
      <c r="G30">
        <f t="shared" si="5"/>
        <v>22.8</v>
      </c>
      <c r="H30">
        <f t="shared" si="2"/>
        <v>4.8045977011494257E-3</v>
      </c>
      <c r="I30">
        <f t="shared" si="0"/>
        <v>0.48045977011494256</v>
      </c>
      <c r="J30">
        <v>4042</v>
      </c>
      <c r="K30" s="2">
        <v>800000000000</v>
      </c>
      <c r="L30">
        <v>2978</v>
      </c>
      <c r="M30">
        <v>1094</v>
      </c>
      <c r="N30" s="2">
        <v>-22000000000000</v>
      </c>
      <c r="O30" s="2">
        <v>-5000000000000</v>
      </c>
      <c r="P30">
        <f t="shared" si="1"/>
        <v>32.879762493814944</v>
      </c>
    </row>
    <row r="31" spans="1:16" x14ac:dyDescent="0.2">
      <c r="A31">
        <v>153</v>
      </c>
      <c r="B31">
        <v>22</v>
      </c>
      <c r="C31">
        <v>2908</v>
      </c>
      <c r="D31">
        <v>8720</v>
      </c>
      <c r="E31">
        <f t="shared" si="4"/>
        <v>195</v>
      </c>
      <c r="F31">
        <f t="shared" si="3"/>
        <v>25036.363636363636</v>
      </c>
      <c r="G31">
        <f t="shared" si="5"/>
        <v>24.375</v>
      </c>
      <c r="H31">
        <f t="shared" si="2"/>
        <v>7.788671023965142E-3</v>
      </c>
      <c r="I31">
        <f t="shared" si="0"/>
        <v>0.77886710239651424</v>
      </c>
      <c r="J31">
        <v>4042</v>
      </c>
      <c r="K31" s="2">
        <v>800000000000</v>
      </c>
      <c r="L31">
        <v>2978</v>
      </c>
      <c r="M31">
        <v>1094</v>
      </c>
      <c r="N31" s="2">
        <v>-22000000000000</v>
      </c>
      <c r="O31" s="2">
        <v>-5000000000000</v>
      </c>
      <c r="P31">
        <f t="shared" si="1"/>
        <v>32.879762493814944</v>
      </c>
    </row>
    <row r="32" spans="1:16" x14ac:dyDescent="0.2">
      <c r="A32">
        <v>155</v>
      </c>
      <c r="B32">
        <v>22</v>
      </c>
      <c r="C32">
        <v>2962</v>
      </c>
      <c r="D32">
        <v>8720</v>
      </c>
      <c r="E32">
        <f t="shared" si="4"/>
        <v>54</v>
      </c>
      <c r="F32">
        <f t="shared" si="3"/>
        <v>25363.63636363636</v>
      </c>
      <c r="G32">
        <f t="shared" si="5"/>
        <v>27</v>
      </c>
      <c r="H32">
        <f t="shared" si="2"/>
        <v>2.1290322580645163E-3</v>
      </c>
      <c r="I32">
        <f t="shared" si="0"/>
        <v>0.21290322580645163</v>
      </c>
      <c r="J32">
        <v>4042</v>
      </c>
      <c r="K32" s="2">
        <v>800000000000</v>
      </c>
      <c r="L32">
        <v>2978</v>
      </c>
      <c r="M32">
        <v>1094</v>
      </c>
      <c r="N32" s="2">
        <v>-22000000000000</v>
      </c>
      <c r="O32" s="2">
        <v>-5000000000000</v>
      </c>
      <c r="P32">
        <f t="shared" si="1"/>
        <v>32.879762493814944</v>
      </c>
    </row>
    <row r="33" spans="1:16" x14ac:dyDescent="0.2">
      <c r="A33">
        <v>161</v>
      </c>
      <c r="B33">
        <v>22</v>
      </c>
      <c r="C33">
        <v>3149</v>
      </c>
      <c r="D33">
        <f>(1000/3600)*(F33-F32)+D32</f>
        <v>8992.7272727272739</v>
      </c>
      <c r="E33">
        <f t="shared" si="4"/>
        <v>187</v>
      </c>
      <c r="F33">
        <f t="shared" si="3"/>
        <v>26345.454545454544</v>
      </c>
      <c r="G33">
        <f t="shared" si="5"/>
        <v>31.166666666666668</v>
      </c>
      <c r="H33">
        <f t="shared" si="2"/>
        <v>7.0979986197377502E-3</v>
      </c>
      <c r="I33">
        <f t="shared" si="0"/>
        <v>0.70979986197377498</v>
      </c>
      <c r="J33">
        <v>4042</v>
      </c>
      <c r="K33" s="2">
        <v>800000000000</v>
      </c>
      <c r="L33">
        <v>2978</v>
      </c>
      <c r="M33">
        <v>1094</v>
      </c>
      <c r="N33" s="2">
        <v>-22000000000000</v>
      </c>
      <c r="O33" s="2">
        <v>-5000000000000</v>
      </c>
      <c r="P33">
        <f t="shared" si="1"/>
        <v>32.879762493814944</v>
      </c>
    </row>
    <row r="34" spans="1:16" x14ac:dyDescent="0.2">
      <c r="A34">
        <v>169.4</v>
      </c>
      <c r="B34">
        <v>22</v>
      </c>
      <c r="C34">
        <v>3821</v>
      </c>
      <c r="D34">
        <f>(1000/3600)*(F34-F33)+D33</f>
        <v>9374.5454545454559</v>
      </c>
      <c r="E34">
        <f t="shared" si="4"/>
        <v>672</v>
      </c>
      <c r="F34">
        <f t="shared" si="3"/>
        <v>27720</v>
      </c>
      <c r="G34">
        <f t="shared" si="5"/>
        <v>79.999999999999943</v>
      </c>
      <c r="H34">
        <f t="shared" si="2"/>
        <v>2.4242424242424242E-2</v>
      </c>
      <c r="I34">
        <f t="shared" si="0"/>
        <v>2.4242424242424243</v>
      </c>
      <c r="J34">
        <v>4042</v>
      </c>
      <c r="K34" s="2">
        <v>800000000000</v>
      </c>
      <c r="L34">
        <v>2978</v>
      </c>
      <c r="M34">
        <v>1094</v>
      </c>
      <c r="N34" s="2">
        <v>-22000000000000</v>
      </c>
      <c r="O34" s="2">
        <v>-5000000000000</v>
      </c>
      <c r="P34">
        <f t="shared" si="1"/>
        <v>32.879762493814944</v>
      </c>
    </row>
    <row r="35" spans="1:16" x14ac:dyDescent="0.2">
      <c r="A35">
        <v>171</v>
      </c>
      <c r="B35">
        <v>22</v>
      </c>
      <c r="C35">
        <v>4026</v>
      </c>
      <c r="D35">
        <f>(1000/3600)*(F35-F34)+D34</f>
        <v>9447.2727272727279</v>
      </c>
      <c r="E35">
        <f t="shared" si="4"/>
        <v>205</v>
      </c>
      <c r="F35">
        <f t="shared" si="3"/>
        <v>27981.81818181818</v>
      </c>
      <c r="G35">
        <f t="shared" si="5"/>
        <v>128.12500000000045</v>
      </c>
      <c r="H35">
        <f t="shared" si="2"/>
        <v>7.3261858349577651E-3</v>
      </c>
      <c r="I35">
        <f t="shared" si="0"/>
        <v>0.73261858349577647</v>
      </c>
      <c r="J35">
        <v>4042</v>
      </c>
      <c r="K35" s="2">
        <v>800000000000</v>
      </c>
      <c r="L35">
        <v>2978</v>
      </c>
      <c r="M35">
        <v>1094</v>
      </c>
      <c r="N35" s="2">
        <v>-22000000000000</v>
      </c>
      <c r="O35" s="2">
        <v>-5000000000000</v>
      </c>
      <c r="P35">
        <f t="shared" si="1"/>
        <v>32.879762493814944</v>
      </c>
    </row>
    <row r="36" spans="1:16" x14ac:dyDescent="0.2">
      <c r="A36">
        <v>173</v>
      </c>
      <c r="B36">
        <v>22</v>
      </c>
      <c r="C36">
        <v>4063.94</v>
      </c>
      <c r="D36">
        <f>(1000/3600)*(F36-F35)+D35</f>
        <v>9538.1818181818198</v>
      </c>
      <c r="E36">
        <f t="shared" si="4"/>
        <v>37.940000000000055</v>
      </c>
      <c r="F36">
        <f t="shared" si="3"/>
        <v>28309.090909090908</v>
      </c>
      <c r="G36">
        <f t="shared" si="5"/>
        <v>18.970000000000027</v>
      </c>
      <c r="H36">
        <f t="shared" si="2"/>
        <v>1.3402055234425197E-3</v>
      </c>
      <c r="I36">
        <f t="shared" si="0"/>
        <v>0.13402055234425198</v>
      </c>
      <c r="J36">
        <v>4042</v>
      </c>
      <c r="K36" s="2">
        <v>800000000000</v>
      </c>
      <c r="L36">
        <v>2978</v>
      </c>
      <c r="M36">
        <v>1094</v>
      </c>
      <c r="N36" s="2">
        <v>-22000000000000</v>
      </c>
      <c r="O36" s="2">
        <v>-5000000000000</v>
      </c>
      <c r="P36">
        <f>(1329/4042)*100</f>
        <v>32.879762493814944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84B9-DC67-2A42-BB86-891286FC66D9}">
  <dimension ref="A1:P1"/>
  <sheetViews>
    <sheetView workbookViewId="0">
      <selection sqref="A1:P1"/>
    </sheetView>
  </sheetViews>
  <sheetFormatPr baseColWidth="10" defaultRowHeight="16" x14ac:dyDescent="0.2"/>
  <cols>
    <col min="1" max="1" width="11.5" customWidth="1"/>
    <col min="2" max="2" width="12.33203125" customWidth="1"/>
    <col min="5" max="5" width="18.1640625" customWidth="1"/>
    <col min="7" max="7" width="17.5" customWidth="1"/>
    <col min="8" max="8" width="17.6640625" customWidth="1"/>
    <col min="9" max="9" width="22" customWidth="1"/>
    <col min="10" max="10" width="18.33203125" customWidth="1"/>
    <col min="11" max="11" width="26.83203125" customWidth="1"/>
    <col min="12" max="12" width="30.5" customWidth="1"/>
    <col min="13" max="13" width="16.33203125" customWidth="1"/>
    <col min="14" max="14" width="26.33203125" customWidth="1"/>
    <col min="15" max="15" width="26.83203125" customWidth="1"/>
    <col min="16" max="16" width="27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Bhattarai, Sanjay</dc:creator>
  <cp:lastModifiedBy>Bhattarai, Sanjay</cp:lastModifiedBy>
  <dcterms:created xsi:type="dcterms:W3CDTF">2024-10-28T15:31:55Z</dcterms:created>
  <dcterms:modified xsi:type="dcterms:W3CDTF">2024-10-31T21:06:51Z</dcterms:modified>
</cp:coreProperties>
</file>