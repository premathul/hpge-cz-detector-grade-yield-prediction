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jaybhattarai/Desktop/"/>
    </mc:Choice>
  </mc:AlternateContent>
  <xr:revisionPtr revIDLastSave="0" documentId="13_ncr:1_{47582AAE-1426-FB4E-9641-12EFD0734EB1}" xr6:coauthVersionLast="47" xr6:coauthVersionMax="47" xr10:uidLastSave="{00000000-0000-0000-0000-000000000000}"/>
  <bookViews>
    <workbookView xWindow="0" yWindow="720" windowWidth="29400" windowHeight="18400" xr2:uid="{4BF60FF0-4794-B746-8A61-9CAD790D2779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/>
  <c r="D4" i="10"/>
  <c r="E4" i="10"/>
  <c r="D5" i="10"/>
  <c r="E5" i="10"/>
  <c r="D6" i="10"/>
  <c r="E6" i="10"/>
  <c r="D7" i="10"/>
  <c r="E7" i="10"/>
  <c r="D8" i="10"/>
  <c r="E8" i="10"/>
  <c r="D9" i="10"/>
  <c r="E9" i="10"/>
  <c r="D10" i="10"/>
  <c r="E10" i="10"/>
  <c r="D11" i="10"/>
  <c r="E11" i="10"/>
  <c r="D12" i="10"/>
  <c r="E12" i="10"/>
  <c r="D13" i="10"/>
  <c r="E13" i="10"/>
  <c r="D14" i="10"/>
  <c r="E14" i="10"/>
  <c r="D15" i="10"/>
  <c r="E15" i="10"/>
  <c r="D16" i="10"/>
  <c r="E16" i="10"/>
  <c r="D17" i="10"/>
  <c r="E17" i="10"/>
  <c r="D18" i="10"/>
  <c r="E18" i="10"/>
  <c r="D19" i="10"/>
  <c r="E19" i="10"/>
  <c r="D20" i="10"/>
  <c r="E20" i="10"/>
  <c r="D21" i="10"/>
  <c r="E21" i="10"/>
  <c r="D22" i="10"/>
  <c r="E22" i="10"/>
  <c r="D23" i="10"/>
  <c r="E23" i="10"/>
  <c r="D2" i="10"/>
  <c r="E2" i="10"/>
  <c r="E3" i="20"/>
  <c r="E4" i="20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23" i="20"/>
  <c r="E24" i="20"/>
  <c r="E25" i="20"/>
  <c r="E26" i="20"/>
  <c r="E27" i="20"/>
  <c r="E28" i="20"/>
  <c r="E29" i="20"/>
  <c r="E30" i="20"/>
  <c r="E31" i="20"/>
  <c r="E32" i="20"/>
  <c r="E33" i="20"/>
  <c r="E34" i="20"/>
  <c r="E35" i="20"/>
  <c r="E36" i="20"/>
  <c r="E2" i="20"/>
  <c r="D3" i="20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7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2" i="20"/>
  <c r="E3" i="19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23" i="19"/>
  <c r="E24" i="19"/>
  <c r="E25" i="19"/>
  <c r="E26" i="19"/>
  <c r="E27" i="19"/>
  <c r="E28" i="19"/>
  <c r="E29" i="19"/>
  <c r="E30" i="19"/>
  <c r="E31" i="19"/>
  <c r="E32" i="19"/>
  <c r="E33" i="19"/>
  <c r="E34" i="19"/>
  <c r="E35" i="19"/>
  <c r="E36" i="19"/>
  <c r="E37" i="19"/>
  <c r="E38" i="19"/>
  <c r="E2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2" i="19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2" i="18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2" i="17"/>
  <c r="D3" i="17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2" i="17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D3" i="16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E2" i="16"/>
  <c r="D2" i="16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2" i="15"/>
  <c r="D3" i="14"/>
  <c r="E3" i="14"/>
  <c r="D4" i="14"/>
  <c r="E4" i="14"/>
  <c r="D5" i="14"/>
  <c r="E5" i="14"/>
  <c r="D6" i="14"/>
  <c r="E6" i="14"/>
  <c r="D7" i="14"/>
  <c r="E7" i="14"/>
  <c r="D8" i="14"/>
  <c r="E8" i="14"/>
  <c r="D9" i="14"/>
  <c r="E9" i="14"/>
  <c r="D10" i="14"/>
  <c r="E10" i="14"/>
  <c r="D11" i="14"/>
  <c r="E11" i="14"/>
  <c r="D12" i="14"/>
  <c r="E12" i="14"/>
  <c r="D13" i="14"/>
  <c r="E13" i="14"/>
  <c r="D14" i="14"/>
  <c r="E14" i="14"/>
  <c r="D15" i="14"/>
  <c r="E15" i="14"/>
  <c r="D16" i="14"/>
  <c r="E16" i="14"/>
  <c r="D17" i="14"/>
  <c r="E17" i="14"/>
  <c r="D18" i="14"/>
  <c r="E18" i="14"/>
  <c r="D19" i="14"/>
  <c r="E19" i="14"/>
  <c r="D20" i="14"/>
  <c r="E20" i="14"/>
  <c r="D21" i="14"/>
  <c r="E21" i="14"/>
  <c r="D22" i="14"/>
  <c r="E22" i="14"/>
  <c r="D23" i="14"/>
  <c r="E23" i="14"/>
  <c r="D24" i="14"/>
  <c r="E24" i="14"/>
  <c r="D25" i="14"/>
  <c r="E25" i="14"/>
  <c r="D26" i="14"/>
  <c r="E26" i="14"/>
  <c r="D27" i="14"/>
  <c r="E27" i="14"/>
  <c r="D28" i="14"/>
  <c r="E28" i="14"/>
  <c r="D29" i="14"/>
  <c r="E29" i="14"/>
  <c r="D30" i="14"/>
  <c r="E30" i="14"/>
  <c r="D31" i="14"/>
  <c r="E31" i="14"/>
  <c r="D32" i="14"/>
  <c r="E32" i="14"/>
  <c r="D33" i="14"/>
  <c r="E33" i="14"/>
  <c r="D34" i="14"/>
  <c r="E34" i="14"/>
  <c r="D35" i="14"/>
  <c r="E35" i="14"/>
  <c r="D36" i="14"/>
  <c r="E36" i="14"/>
  <c r="E2" i="14"/>
  <c r="D2" i="14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" i="13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2" i="12"/>
  <c r="D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2" i="12"/>
  <c r="D3" i="1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2" i="11"/>
  <c r="D2" i="11"/>
  <c r="E2" i="9"/>
  <c r="E3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25" i="9"/>
  <c r="D3" i="9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2" i="9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2" i="8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2" i="6"/>
  <c r="D2" i="6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2" i="4"/>
  <c r="E2" i="4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2" i="3"/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2" i="2"/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" i="1"/>
</calcChain>
</file>

<file path=xl/sharedStrings.xml><?xml version="1.0" encoding="utf-8"?>
<sst xmlns="http://schemas.openxmlformats.org/spreadsheetml/2006/main" count="141" uniqueCount="10">
  <si>
    <t>Power(W)</t>
  </si>
  <si>
    <t>Growth Rate (gm/sec)</t>
  </si>
  <si>
    <t>No. of net impurity atoms added</t>
  </si>
  <si>
    <t>Number of net impurity of previous crystal</t>
  </si>
  <si>
    <t>Output net impurity</t>
  </si>
  <si>
    <t>Detector grade region</t>
  </si>
  <si>
    <t>Time (Sec)</t>
  </si>
  <si>
    <t>Time (sec)</t>
  </si>
  <si>
    <t>Number of net impurity of previous crystal added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</si>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</sst>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2" xfId="0" applyBorder="1"/>
    <xf numFmtId="11" fontId="0" fillId="0" borderId="0" xfId="0" applyNumberFormat="1"/>
    <xf numFmtId="0" fontId="2" fillId="0" borderId="0" xfId="0" applyFont="1"/>
    <xf numFmtId="11" fontId="2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A58B0-EE1A-9046-A269-56AA28F2DA59}">
  <dimension ref="A1:G28"/>
  <sheetViews>
    <sheetView tabSelected="1" workbookViewId="0">
      <selection activeCell="D2" sqref="D2"/>
    </sheetView>
  </sheetViews>
  <sheetFormatPr baseColWidth="10" defaultRowHeight="16" x14ac:dyDescent="0.2"/>
  <cols>
    <col min="3" max="3" width="20" customWidth="1"/>
    <col min="4" max="4" width="26.83203125" customWidth="1"/>
    <col min="5" max="5" width="34.1640625" customWidth="1"/>
    <col min="6" max="6" width="16.6640625" customWidth="1"/>
    <col min="7" max="7" width="18.6640625" customWidth="1"/>
  </cols>
  <sheetData>
    <row r="1" spans="1:7" x14ac:dyDescent="0.2">
      <c r="A1" t="s">
        <v>7</v>
      </c>
      <c r="B1" s="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0</v>
      </c>
      <c r="B2" s="2">
        <v>8720</v>
      </c>
      <c r="C2">
        <v>0</v>
      </c>
      <c r="D2">
        <f>(470/5.32)*4*10^11</f>
        <v>35338345864661.656</v>
      </c>
      <c r="E2">
        <f>3701*4.93*10^11/5.32</f>
        <v>342968609022556.38</v>
      </c>
      <c r="F2">
        <v>474341395671.94739</v>
      </c>
      <c r="G2">
        <v>38</v>
      </c>
    </row>
    <row r="3" spans="1:7" x14ac:dyDescent="0.2">
      <c r="A3">
        <v>900</v>
      </c>
      <c r="B3" s="2">
        <v>8700</v>
      </c>
      <c r="C3">
        <v>9.1111111111111115E-2</v>
      </c>
      <c r="D3">
        <f t="shared" ref="D3:D28" si="0">(470/5.32)*4*10^11</f>
        <v>35338345864661.656</v>
      </c>
      <c r="E3">
        <f t="shared" ref="E3:E28" si="1">3701*4.93*10^11/5.32</f>
        <v>342968609022556.38</v>
      </c>
      <c r="F3">
        <v>474376733171.11371</v>
      </c>
      <c r="G3">
        <v>38</v>
      </c>
    </row>
    <row r="4" spans="1:7" x14ac:dyDescent="0.2">
      <c r="A4">
        <v>1350</v>
      </c>
      <c r="B4" s="2">
        <v>8700</v>
      </c>
      <c r="C4">
        <v>5.4074074074074059E-2</v>
      </c>
      <c r="D4">
        <f t="shared" si="0"/>
        <v>35338345864661.656</v>
      </c>
      <c r="E4">
        <f t="shared" si="1"/>
        <v>342968609022556.38</v>
      </c>
      <c r="F4">
        <v>473088507038.81818</v>
      </c>
      <c r="G4">
        <v>38</v>
      </c>
    </row>
    <row r="5" spans="1:7" x14ac:dyDescent="0.2">
      <c r="A5">
        <v>2880</v>
      </c>
      <c r="B5" s="2">
        <v>8680</v>
      </c>
      <c r="C5">
        <v>1.5277777777777782E-2</v>
      </c>
      <c r="D5">
        <f t="shared" si="0"/>
        <v>35338345864661.656</v>
      </c>
      <c r="E5">
        <f t="shared" si="1"/>
        <v>342968609022556.38</v>
      </c>
      <c r="F5">
        <v>472313621844.03217</v>
      </c>
      <c r="G5">
        <v>38</v>
      </c>
    </row>
    <row r="6" spans="1:7" x14ac:dyDescent="0.2">
      <c r="A6">
        <v>3600</v>
      </c>
      <c r="B6" s="2">
        <v>8660</v>
      </c>
      <c r="C6">
        <v>1.1944444444444443E-2</v>
      </c>
      <c r="D6">
        <f t="shared" si="0"/>
        <v>35338345864661.656</v>
      </c>
      <c r="E6">
        <f t="shared" si="1"/>
        <v>342968609022556.38</v>
      </c>
      <c r="F6">
        <v>471557493772.1554</v>
      </c>
      <c r="G6">
        <v>38</v>
      </c>
    </row>
    <row r="7" spans="1:7" x14ac:dyDescent="0.2">
      <c r="A7">
        <v>4320</v>
      </c>
      <c r="B7" s="2">
        <v>8640</v>
      </c>
      <c r="C7">
        <v>1.8287037037037039E-2</v>
      </c>
      <c r="D7">
        <f t="shared" si="0"/>
        <v>35338345864661.656</v>
      </c>
      <c r="E7">
        <f t="shared" si="1"/>
        <v>342968609022556.38</v>
      </c>
      <c r="F7">
        <v>470171275664.93579</v>
      </c>
      <c r="G7">
        <v>38</v>
      </c>
    </row>
    <row r="8" spans="1:7" x14ac:dyDescent="0.2">
      <c r="A8">
        <v>5040</v>
      </c>
      <c r="B8" s="2">
        <v>8620</v>
      </c>
      <c r="C8">
        <v>2.7976190476190477E-2</v>
      </c>
      <c r="D8">
        <f t="shared" si="0"/>
        <v>35338345864661.656</v>
      </c>
      <c r="E8">
        <f t="shared" si="1"/>
        <v>342968609022556.38</v>
      </c>
      <c r="F8">
        <v>467706598962.50769</v>
      </c>
      <c r="G8">
        <v>38</v>
      </c>
    </row>
    <row r="9" spans="1:7" x14ac:dyDescent="0.2">
      <c r="A9">
        <v>5760</v>
      </c>
      <c r="B9" s="2">
        <v>8600</v>
      </c>
      <c r="C9">
        <v>3.1944444444444442E-2</v>
      </c>
      <c r="D9">
        <f t="shared" si="0"/>
        <v>35338345864661.656</v>
      </c>
      <c r="E9">
        <f t="shared" si="1"/>
        <v>342968609022556.38</v>
      </c>
      <c r="F9">
        <v>464508439654.00305</v>
      </c>
      <c r="G9">
        <v>38</v>
      </c>
    </row>
    <row r="10" spans="1:7" x14ac:dyDescent="0.2">
      <c r="A10">
        <v>6480</v>
      </c>
      <c r="B10" s="2">
        <v>8580</v>
      </c>
      <c r="C10">
        <v>4.7222222222222221E-2</v>
      </c>
      <c r="D10">
        <f t="shared" si="0"/>
        <v>35338345864661.656</v>
      </c>
      <c r="E10">
        <f t="shared" si="1"/>
        <v>342968609022556.38</v>
      </c>
      <c r="F10">
        <v>459234977096.62622</v>
      </c>
      <c r="G10">
        <v>38</v>
      </c>
    </row>
    <row r="11" spans="1:7" x14ac:dyDescent="0.2">
      <c r="A11">
        <v>7200</v>
      </c>
      <c r="B11" s="2">
        <v>8560</v>
      </c>
      <c r="C11">
        <v>7.6527777777777764E-2</v>
      </c>
      <c r="D11">
        <f t="shared" si="0"/>
        <v>35338345864661.656</v>
      </c>
      <c r="E11">
        <f t="shared" si="1"/>
        <v>342968609022556.38</v>
      </c>
      <c r="F11">
        <v>449880102990.0849</v>
      </c>
      <c r="G11">
        <v>38</v>
      </c>
    </row>
    <row r="12" spans="1:7" x14ac:dyDescent="0.2">
      <c r="A12">
        <v>8928</v>
      </c>
      <c r="B12" s="2">
        <v>8560</v>
      </c>
      <c r="C12">
        <v>0.32918906810035842</v>
      </c>
      <c r="D12">
        <f t="shared" si="0"/>
        <v>35338345864661.656</v>
      </c>
      <c r="E12">
        <f t="shared" si="1"/>
        <v>342968609022556.38</v>
      </c>
      <c r="F12">
        <v>402917891567.95807</v>
      </c>
      <c r="G12">
        <v>38</v>
      </c>
    </row>
    <row r="13" spans="1:7" x14ac:dyDescent="0.2">
      <c r="A13">
        <v>10080</v>
      </c>
      <c r="B13" s="2">
        <v>8560</v>
      </c>
      <c r="C13">
        <v>0.41666666666666669</v>
      </c>
      <c r="D13">
        <f t="shared" si="0"/>
        <v>35338345864661.656</v>
      </c>
      <c r="E13">
        <f t="shared" si="1"/>
        <v>342968609022556.38</v>
      </c>
      <c r="F13">
        <v>343706166482.50116</v>
      </c>
      <c r="G13">
        <v>38</v>
      </c>
    </row>
    <row r="14" spans="1:7" x14ac:dyDescent="0.2">
      <c r="A14">
        <v>10800</v>
      </c>
      <c r="B14" s="2">
        <v>8560</v>
      </c>
      <c r="C14">
        <v>0.40740740740740738</v>
      </c>
      <c r="D14">
        <f t="shared" si="0"/>
        <v>35338345864661.656</v>
      </c>
      <c r="E14">
        <f t="shared" si="1"/>
        <v>342968609022556.38</v>
      </c>
      <c r="F14">
        <v>290463757073.58655</v>
      </c>
      <c r="G14">
        <v>38</v>
      </c>
    </row>
    <row r="15" spans="1:7" x14ac:dyDescent="0.2">
      <c r="A15">
        <v>12960</v>
      </c>
      <c r="B15" s="2">
        <v>8660</v>
      </c>
      <c r="C15">
        <v>2.3456790123456792</v>
      </c>
      <c r="D15">
        <f t="shared" si="0"/>
        <v>35338345864661.656</v>
      </c>
      <c r="E15">
        <f t="shared" si="1"/>
        <v>342968609022556.38</v>
      </c>
      <c r="F15" s="3">
        <v>86055728616.395218</v>
      </c>
      <c r="G15">
        <v>38</v>
      </c>
    </row>
    <row r="16" spans="1:7" x14ac:dyDescent="0.2">
      <c r="A16">
        <v>13464</v>
      </c>
      <c r="B16" s="2">
        <v>8700</v>
      </c>
      <c r="C16">
        <v>0.93582887700534756</v>
      </c>
      <c r="D16">
        <f t="shared" si="0"/>
        <v>35338345864661.656</v>
      </c>
      <c r="E16">
        <f t="shared" si="1"/>
        <v>342968609022556.38</v>
      </c>
      <c r="F16" s="3">
        <v>50447624802.535301</v>
      </c>
      <c r="G16">
        <v>38</v>
      </c>
    </row>
    <row r="17" spans="1:7" x14ac:dyDescent="0.2">
      <c r="A17">
        <v>15120</v>
      </c>
      <c r="B17" s="2">
        <v>8700</v>
      </c>
      <c r="C17">
        <v>3.1216931216931214</v>
      </c>
      <c r="D17">
        <f t="shared" si="0"/>
        <v>35338345864661.656</v>
      </c>
      <c r="E17">
        <f t="shared" si="1"/>
        <v>342968609022556.38</v>
      </c>
      <c r="F17" s="3">
        <v>-50316716822.179375</v>
      </c>
      <c r="G17">
        <v>38</v>
      </c>
    </row>
    <row r="18" spans="1:7" x14ac:dyDescent="0.2">
      <c r="A18">
        <v>15984</v>
      </c>
      <c r="B18" s="2">
        <v>8700</v>
      </c>
      <c r="C18">
        <v>1.5515515515515517</v>
      </c>
      <c r="D18">
        <f t="shared" si="0"/>
        <v>35338345864661.656</v>
      </c>
      <c r="E18">
        <f t="shared" si="1"/>
        <v>342968609022556.38</v>
      </c>
      <c r="F18" s="3">
        <v>-58659136419.832947</v>
      </c>
      <c r="G18">
        <v>38</v>
      </c>
    </row>
    <row r="19" spans="1:7" x14ac:dyDescent="0.2">
      <c r="A19">
        <v>16560</v>
      </c>
      <c r="B19" s="2">
        <v>8700</v>
      </c>
      <c r="C19">
        <v>0.89975845410628019</v>
      </c>
      <c r="D19">
        <f t="shared" si="0"/>
        <v>35338345864661.656</v>
      </c>
      <c r="E19">
        <f t="shared" si="1"/>
        <v>342968609022556.38</v>
      </c>
      <c r="F19" s="3">
        <v>-64750416445.385178</v>
      </c>
      <c r="G19">
        <v>38</v>
      </c>
    </row>
    <row r="20" spans="1:7" x14ac:dyDescent="0.2">
      <c r="A20">
        <v>18000</v>
      </c>
      <c r="B20" s="2">
        <v>8700</v>
      </c>
      <c r="C20">
        <v>2</v>
      </c>
      <c r="D20">
        <f t="shared" si="0"/>
        <v>35338345864661.656</v>
      </c>
      <c r="E20">
        <f t="shared" si="1"/>
        <v>342968609022556.38</v>
      </c>
      <c r="F20">
        <v>-145650309480.59415</v>
      </c>
      <c r="G20">
        <v>38</v>
      </c>
    </row>
    <row r="21" spans="1:7" x14ac:dyDescent="0.2">
      <c r="A21">
        <v>18720</v>
      </c>
      <c r="B21" s="2">
        <v>8700</v>
      </c>
      <c r="C21">
        <v>0.82264957264957272</v>
      </c>
      <c r="D21">
        <f t="shared" si="0"/>
        <v>35338345864661.656</v>
      </c>
      <c r="E21">
        <f t="shared" si="1"/>
        <v>342968609022556.38</v>
      </c>
      <c r="F21">
        <v>-243129931967.44955</v>
      </c>
      <c r="G21">
        <v>38</v>
      </c>
    </row>
    <row r="22" spans="1:7" x14ac:dyDescent="0.2">
      <c r="A22">
        <v>19440</v>
      </c>
      <c r="B22" s="2">
        <v>8700</v>
      </c>
      <c r="C22">
        <v>0.60185185185185186</v>
      </c>
      <c r="D22">
        <f t="shared" si="0"/>
        <v>35338345864661.656</v>
      </c>
      <c r="E22">
        <f t="shared" si="1"/>
        <v>342968609022556.38</v>
      </c>
      <c r="F22">
        <v>-367953435927.54706</v>
      </c>
      <c r="G22">
        <v>38</v>
      </c>
    </row>
    <row r="23" spans="1:7" x14ac:dyDescent="0.2">
      <c r="A23">
        <v>20160</v>
      </c>
      <c r="B23" s="2">
        <v>8700</v>
      </c>
      <c r="C23">
        <v>0.69444444444444442</v>
      </c>
      <c r="D23">
        <f t="shared" si="0"/>
        <v>35338345864661.656</v>
      </c>
      <c r="E23">
        <f t="shared" si="1"/>
        <v>342968609022556.38</v>
      </c>
      <c r="F23">
        <v>-624030406450.0116</v>
      </c>
      <c r="G23">
        <v>38</v>
      </c>
    </row>
    <row r="24" spans="1:7" x14ac:dyDescent="0.2">
      <c r="A24">
        <v>21600</v>
      </c>
      <c r="B24" s="2">
        <v>8700</v>
      </c>
      <c r="C24">
        <v>0.92592592592592582</v>
      </c>
      <c r="D24">
        <f t="shared" si="0"/>
        <v>35338345864661.656</v>
      </c>
      <c r="E24">
        <f t="shared" si="1"/>
        <v>342968609022556.38</v>
      </c>
      <c r="F24">
        <v>-663658661762.69409</v>
      </c>
      <c r="G24">
        <v>38</v>
      </c>
    </row>
    <row r="25" spans="1:7" x14ac:dyDescent="0.2">
      <c r="A25">
        <v>23040</v>
      </c>
      <c r="B25" s="2">
        <v>8700</v>
      </c>
      <c r="C25">
        <v>0.73784722222222221</v>
      </c>
      <c r="D25">
        <f t="shared" si="0"/>
        <v>35338345864661.656</v>
      </c>
      <c r="E25">
        <f t="shared" si="1"/>
        <v>342968609022556.38</v>
      </c>
      <c r="F25">
        <v>-724308337092.08716</v>
      </c>
      <c r="G25">
        <v>38</v>
      </c>
    </row>
    <row r="26" spans="1:7" x14ac:dyDescent="0.2">
      <c r="A26">
        <v>24048</v>
      </c>
      <c r="B26" s="2">
        <v>8700</v>
      </c>
      <c r="C26">
        <v>0.46157684630738521</v>
      </c>
      <c r="D26">
        <f t="shared" si="0"/>
        <v>35338345864661.656</v>
      </c>
      <c r="E26">
        <f t="shared" si="1"/>
        <v>342968609022556.38</v>
      </c>
      <c r="F26">
        <v>-771031255447.43091</v>
      </c>
      <c r="G26">
        <v>38</v>
      </c>
    </row>
    <row r="27" spans="1:7" x14ac:dyDescent="0.2">
      <c r="A27">
        <v>26582.399999999998</v>
      </c>
      <c r="B27" s="2">
        <v>9404</v>
      </c>
      <c r="C27">
        <v>1.2414228963524738</v>
      </c>
      <c r="D27">
        <f t="shared" si="0"/>
        <v>35338345864661.656</v>
      </c>
      <c r="E27">
        <f t="shared" si="1"/>
        <v>342968609022556.38</v>
      </c>
      <c r="F27">
        <v>-960470944722.65271</v>
      </c>
      <c r="G27">
        <v>38</v>
      </c>
    </row>
    <row r="28" spans="1:7" x14ac:dyDescent="0.2">
      <c r="A28">
        <v>29232</v>
      </c>
      <c r="B28" s="2">
        <v>9500</v>
      </c>
      <c r="C28">
        <v>2.0354406130268199</v>
      </c>
      <c r="D28">
        <f t="shared" si="0"/>
        <v>35338345864661.656</v>
      </c>
      <c r="E28">
        <f t="shared" si="1"/>
        <v>342968609022556.38</v>
      </c>
      <c r="F28">
        <v>-1851074951815.8184</v>
      </c>
      <c r="G28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CAE6-479B-C749-B939-27C408BC288D}">
  <dimension ref="A1:G37"/>
  <sheetViews>
    <sheetView workbookViewId="0">
      <selection activeCell="C2" sqref="C2:C37"/>
    </sheetView>
  </sheetViews>
  <sheetFormatPr baseColWidth="10" defaultRowHeight="16" x14ac:dyDescent="0.2"/>
  <cols>
    <col min="3" max="3" width="20.83203125" customWidth="1"/>
    <col min="4" max="4" width="27.83203125" customWidth="1"/>
    <col min="5" max="5" width="40.83203125" customWidth="1"/>
    <col min="6" max="6" width="20.33203125" customWidth="1"/>
    <col min="7" max="7" width="18.8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8780</v>
      </c>
      <c r="C2">
        <v>0</v>
      </c>
      <c r="D2">
        <f>4050*1*10^12/5.32</f>
        <v>761278195488721.75</v>
      </c>
      <c r="E2">
        <f>0</f>
        <v>0</v>
      </c>
      <c r="F2">
        <v>822618543394.8335</v>
      </c>
      <c r="G2">
        <v>9</v>
      </c>
    </row>
    <row r="3" spans="1:7" x14ac:dyDescent="0.2">
      <c r="A3">
        <v>251.99999999999997</v>
      </c>
      <c r="B3">
        <v>8720</v>
      </c>
      <c r="C3">
        <v>0.13095238095238099</v>
      </c>
      <c r="D3">
        <f t="shared" ref="D3:D37" si="0">4050*1*10^12/5.32</f>
        <v>761278195488721.75</v>
      </c>
      <c r="E3">
        <f>0</f>
        <v>0</v>
      </c>
      <c r="F3">
        <v>823204637900.85339</v>
      </c>
      <c r="G3">
        <v>9</v>
      </c>
    </row>
    <row r="4" spans="1:7" x14ac:dyDescent="0.2">
      <c r="A4">
        <v>450</v>
      </c>
      <c r="B4">
        <v>8700</v>
      </c>
      <c r="C4">
        <v>0.12666666666666673</v>
      </c>
      <c r="D4">
        <f t="shared" si="0"/>
        <v>761278195488721.75</v>
      </c>
      <c r="E4">
        <f>0</f>
        <v>0</v>
      </c>
      <c r="F4">
        <v>824217853888.04382</v>
      </c>
      <c r="G4">
        <v>9</v>
      </c>
    </row>
    <row r="5" spans="1:7" x14ac:dyDescent="0.2">
      <c r="A5">
        <v>900</v>
      </c>
      <c r="B5">
        <v>8680</v>
      </c>
      <c r="C5">
        <v>7.8888888888888828E-2</v>
      </c>
      <c r="D5">
        <f t="shared" si="0"/>
        <v>761278195488721.75</v>
      </c>
      <c r="E5">
        <f>0</f>
        <v>0</v>
      </c>
      <c r="F5">
        <v>825481474210.08875</v>
      </c>
      <c r="G5">
        <v>9</v>
      </c>
    </row>
    <row r="6" spans="1:7" x14ac:dyDescent="0.2">
      <c r="A6">
        <v>1350</v>
      </c>
      <c r="B6">
        <v>8660</v>
      </c>
      <c r="C6">
        <v>5.7777777777777796E-2</v>
      </c>
      <c r="D6">
        <f t="shared" si="0"/>
        <v>761278195488721.75</v>
      </c>
      <c r="E6">
        <f>0</f>
        <v>0</v>
      </c>
      <c r="F6">
        <v>826871653929.17712</v>
      </c>
      <c r="G6">
        <v>9</v>
      </c>
    </row>
    <row r="7" spans="1:7" x14ac:dyDescent="0.2">
      <c r="A7">
        <v>2880</v>
      </c>
      <c r="B7">
        <v>8640</v>
      </c>
      <c r="C7">
        <v>2.9513888888888885E-2</v>
      </c>
      <c r="D7">
        <f t="shared" si="0"/>
        <v>761278195488721.75</v>
      </c>
      <c r="E7">
        <f>0</f>
        <v>0</v>
      </c>
      <c r="F7">
        <v>828388953411.42371</v>
      </c>
      <c r="G7">
        <v>9</v>
      </c>
    </row>
    <row r="8" spans="1:7" x14ac:dyDescent="0.2">
      <c r="A8">
        <v>3600</v>
      </c>
      <c r="B8">
        <v>8620</v>
      </c>
      <c r="C8">
        <v>2.3333333333333334E-2</v>
      </c>
      <c r="D8">
        <f t="shared" si="0"/>
        <v>761278195488721.75</v>
      </c>
      <c r="E8">
        <f>0</f>
        <v>0</v>
      </c>
      <c r="F8">
        <v>829890823754.47205</v>
      </c>
      <c r="G8">
        <v>9</v>
      </c>
    </row>
    <row r="9" spans="1:7" x14ac:dyDescent="0.2">
      <c r="A9">
        <v>4320</v>
      </c>
      <c r="B9">
        <v>8600</v>
      </c>
      <c r="C9">
        <v>4.6990740740740736E-2</v>
      </c>
      <c r="D9">
        <f t="shared" si="0"/>
        <v>761278195488721.75</v>
      </c>
      <c r="E9">
        <f>0</f>
        <v>0</v>
      </c>
      <c r="F9">
        <v>830302470382.93347</v>
      </c>
      <c r="G9">
        <v>9</v>
      </c>
    </row>
    <row r="10" spans="1:7" x14ac:dyDescent="0.2">
      <c r="A10">
        <v>5760</v>
      </c>
      <c r="B10">
        <v>8600</v>
      </c>
      <c r="C10">
        <v>0.10277777777777779</v>
      </c>
      <c r="D10">
        <f t="shared" si="0"/>
        <v>761278195488721.75</v>
      </c>
      <c r="E10">
        <f>0</f>
        <v>0</v>
      </c>
      <c r="F10">
        <v>819764407911.80554</v>
      </c>
      <c r="G10">
        <v>9</v>
      </c>
    </row>
    <row r="11" spans="1:7" x14ac:dyDescent="0.2">
      <c r="A11">
        <v>6480</v>
      </c>
      <c r="B11">
        <v>8600</v>
      </c>
      <c r="C11">
        <v>9.3827160493827166E-2</v>
      </c>
      <c r="D11">
        <f t="shared" si="0"/>
        <v>761278195488721.75</v>
      </c>
      <c r="E11">
        <f>0</f>
        <v>0</v>
      </c>
      <c r="F11">
        <v>809064972963.9104</v>
      </c>
      <c r="G11">
        <v>9</v>
      </c>
    </row>
    <row r="12" spans="1:7" x14ac:dyDescent="0.2">
      <c r="A12">
        <v>7200</v>
      </c>
      <c r="B12">
        <v>8600</v>
      </c>
      <c r="C12">
        <v>0.14027777777777778</v>
      </c>
      <c r="D12">
        <f t="shared" si="0"/>
        <v>761278195488721.75</v>
      </c>
      <c r="E12">
        <f>0</f>
        <v>0</v>
      </c>
      <c r="F12">
        <v>791564354237.10889</v>
      </c>
      <c r="G12">
        <v>9</v>
      </c>
    </row>
    <row r="13" spans="1:7" x14ac:dyDescent="0.2">
      <c r="A13">
        <v>8640</v>
      </c>
      <c r="B13">
        <v>8600</v>
      </c>
      <c r="C13">
        <v>0.43402777777777779</v>
      </c>
      <c r="D13">
        <f t="shared" si="0"/>
        <v>761278195488721.75</v>
      </c>
      <c r="E13">
        <f>0</f>
        <v>0</v>
      </c>
      <c r="F13">
        <v>729482436968.3219</v>
      </c>
      <c r="G13">
        <v>9</v>
      </c>
    </row>
    <row r="14" spans="1:7" x14ac:dyDescent="0.2">
      <c r="A14">
        <v>10080</v>
      </c>
      <c r="B14">
        <v>8600</v>
      </c>
      <c r="C14">
        <v>0.92757936507936511</v>
      </c>
      <c r="D14">
        <f t="shared" si="0"/>
        <v>761278195488721.75</v>
      </c>
      <c r="E14">
        <f>0</f>
        <v>0</v>
      </c>
      <c r="F14">
        <v>593061893952.42285</v>
      </c>
      <c r="G14">
        <v>9</v>
      </c>
    </row>
    <row r="15" spans="1:7" x14ac:dyDescent="0.2">
      <c r="A15">
        <v>10800</v>
      </c>
      <c r="B15">
        <v>8600</v>
      </c>
      <c r="C15">
        <v>0.57407407407407407</v>
      </c>
      <c r="D15">
        <f t="shared" si="0"/>
        <v>761278195488721.75</v>
      </c>
      <c r="E15">
        <f>0</f>
        <v>0</v>
      </c>
      <c r="F15">
        <v>515560350066.77295</v>
      </c>
      <c r="G15">
        <v>9</v>
      </c>
    </row>
    <row r="16" spans="1:7" x14ac:dyDescent="0.2">
      <c r="A16">
        <v>11664</v>
      </c>
      <c r="B16">
        <v>8700</v>
      </c>
      <c r="C16">
        <v>1.0288065843621399</v>
      </c>
      <c r="D16">
        <f t="shared" si="0"/>
        <v>761278195488721.75</v>
      </c>
      <c r="E16">
        <f>0</f>
        <v>0</v>
      </c>
      <c r="F16">
        <v>390585740593.8183</v>
      </c>
      <c r="G16">
        <v>9</v>
      </c>
    </row>
    <row r="17" spans="1:7" x14ac:dyDescent="0.2">
      <c r="A17">
        <v>12240</v>
      </c>
      <c r="B17">
        <v>8700</v>
      </c>
      <c r="C17">
        <v>0.92320261437908502</v>
      </c>
      <c r="D17">
        <f t="shared" si="0"/>
        <v>761278195488721.75</v>
      </c>
      <c r="E17">
        <f>0</f>
        <v>0</v>
      </c>
      <c r="F17">
        <v>298243132317.83075</v>
      </c>
      <c r="G17">
        <v>9</v>
      </c>
    </row>
    <row r="18" spans="1:7" x14ac:dyDescent="0.2">
      <c r="A18">
        <v>12960</v>
      </c>
      <c r="B18">
        <v>8700</v>
      </c>
      <c r="C18">
        <v>1.0339506172839508</v>
      </c>
      <c r="D18">
        <f t="shared" si="0"/>
        <v>761278195488721.75</v>
      </c>
      <c r="E18">
        <f>0</f>
        <v>0</v>
      </c>
      <c r="F18">
        <v>236472886004.94</v>
      </c>
      <c r="G18">
        <v>9</v>
      </c>
    </row>
    <row r="19" spans="1:7" x14ac:dyDescent="0.2">
      <c r="A19">
        <v>13680</v>
      </c>
      <c r="B19">
        <v>8700</v>
      </c>
      <c r="C19">
        <v>1.0891812865497075</v>
      </c>
      <c r="D19">
        <f t="shared" si="0"/>
        <v>761278195488721.75</v>
      </c>
      <c r="E19">
        <f>0</f>
        <v>0</v>
      </c>
      <c r="F19">
        <v>201795613321.78513</v>
      </c>
      <c r="G19">
        <v>9</v>
      </c>
    </row>
    <row r="20" spans="1:7" x14ac:dyDescent="0.2">
      <c r="A20">
        <v>14400</v>
      </c>
      <c r="B20">
        <v>8740</v>
      </c>
      <c r="C20">
        <v>1.1805555555555556</v>
      </c>
      <c r="D20">
        <f t="shared" si="0"/>
        <v>761278195488721.75</v>
      </c>
      <c r="E20">
        <f>0</f>
        <v>0</v>
      </c>
      <c r="F20">
        <v>166898846772.52768</v>
      </c>
      <c r="G20">
        <v>9</v>
      </c>
    </row>
    <row r="21" spans="1:7" x14ac:dyDescent="0.2">
      <c r="A21">
        <v>15120</v>
      </c>
      <c r="B21">
        <v>8740</v>
      </c>
      <c r="C21">
        <v>1.0912698412698412</v>
      </c>
      <c r="D21">
        <f t="shared" si="0"/>
        <v>761278195488721.75</v>
      </c>
      <c r="E21">
        <f>0</f>
        <v>0</v>
      </c>
      <c r="F21">
        <v>137418824104.61035</v>
      </c>
      <c r="G21">
        <v>9</v>
      </c>
    </row>
    <row r="22" spans="1:7" x14ac:dyDescent="0.2">
      <c r="A22">
        <v>15840</v>
      </c>
      <c r="B22">
        <v>8740</v>
      </c>
      <c r="C22">
        <v>0.92171717171717171</v>
      </c>
      <c r="D22">
        <f t="shared" si="0"/>
        <v>761278195488721.75</v>
      </c>
      <c r="E22">
        <f>0</f>
        <v>0</v>
      </c>
      <c r="F22">
        <v>114648977427.34454</v>
      </c>
      <c r="G22">
        <v>9</v>
      </c>
    </row>
    <row r="23" spans="1:7" x14ac:dyDescent="0.2">
      <c r="A23">
        <v>16560</v>
      </c>
      <c r="B23">
        <v>8740</v>
      </c>
      <c r="C23">
        <v>0.76690821256038644</v>
      </c>
      <c r="D23">
        <f t="shared" si="0"/>
        <v>761278195488721.75</v>
      </c>
      <c r="E23">
        <f>0</f>
        <v>0</v>
      </c>
      <c r="F23" s="3">
        <v>97177813535.770874</v>
      </c>
      <c r="G23">
        <v>9</v>
      </c>
    </row>
    <row r="24" spans="1:7" x14ac:dyDescent="0.2">
      <c r="A24">
        <v>17280</v>
      </c>
      <c r="B24">
        <v>8720</v>
      </c>
      <c r="C24">
        <v>0.77546296296296291</v>
      </c>
      <c r="D24">
        <f t="shared" si="0"/>
        <v>761278195488721.75</v>
      </c>
      <c r="E24">
        <f>0</f>
        <v>0</v>
      </c>
      <c r="F24" s="3">
        <v>80921240764.206924</v>
      </c>
      <c r="G24">
        <v>9</v>
      </c>
    </row>
    <row r="25" spans="1:7" x14ac:dyDescent="0.2">
      <c r="A25">
        <v>18000</v>
      </c>
      <c r="B25">
        <v>8720</v>
      </c>
      <c r="C25">
        <v>0.54999999999999993</v>
      </c>
      <c r="D25">
        <f t="shared" si="0"/>
        <v>761278195488721.75</v>
      </c>
      <c r="E25">
        <f>0</f>
        <v>0</v>
      </c>
      <c r="F25" s="3">
        <v>70245881557.52179</v>
      </c>
      <c r="G25">
        <v>9</v>
      </c>
    </row>
    <row r="26" spans="1:7" x14ac:dyDescent="0.2">
      <c r="A26">
        <v>20160</v>
      </c>
      <c r="B26">
        <v>8720</v>
      </c>
      <c r="C26">
        <v>1.498015873015873</v>
      </c>
      <c r="D26">
        <f t="shared" si="0"/>
        <v>761278195488721.75</v>
      </c>
      <c r="E26">
        <f>0</f>
        <v>0</v>
      </c>
      <c r="F26">
        <v>-226912660562.97263</v>
      </c>
      <c r="G26">
        <v>9</v>
      </c>
    </row>
    <row r="27" spans="1:7" x14ac:dyDescent="0.2">
      <c r="A27">
        <v>20880</v>
      </c>
      <c r="B27">
        <v>8720</v>
      </c>
      <c r="C27">
        <v>0.40708812260536398</v>
      </c>
      <c r="D27">
        <f t="shared" si="0"/>
        <v>761278195488721.75</v>
      </c>
      <c r="E27">
        <f>0</f>
        <v>0</v>
      </c>
      <c r="F27">
        <v>-305136481103.04474</v>
      </c>
      <c r="G27">
        <v>9</v>
      </c>
    </row>
    <row r="28" spans="1:7" x14ac:dyDescent="0.2">
      <c r="A28">
        <v>21600</v>
      </c>
      <c r="B28">
        <v>8720</v>
      </c>
      <c r="C28">
        <v>0.39351851851851849</v>
      </c>
      <c r="D28">
        <f t="shared" si="0"/>
        <v>761278195488721.75</v>
      </c>
      <c r="E28">
        <f>0</f>
        <v>0</v>
      </c>
      <c r="F28">
        <v>-415404520770.46899</v>
      </c>
      <c r="G28">
        <v>9</v>
      </c>
    </row>
    <row r="29" spans="1:7" x14ac:dyDescent="0.2">
      <c r="A29">
        <v>22320</v>
      </c>
      <c r="B29">
        <v>8720</v>
      </c>
      <c r="C29">
        <v>0.29121863799283154</v>
      </c>
      <c r="D29">
        <f t="shared" si="0"/>
        <v>761278195488721.75</v>
      </c>
      <c r="E29">
        <f>0</f>
        <v>0</v>
      </c>
      <c r="F29">
        <v>-530657352522.47229</v>
      </c>
      <c r="G29">
        <v>9</v>
      </c>
    </row>
    <row r="30" spans="1:7" x14ac:dyDescent="0.2">
      <c r="A30">
        <v>23040</v>
      </c>
      <c r="B30">
        <v>8720</v>
      </c>
      <c r="C30">
        <v>0.3689236111111111</v>
      </c>
      <c r="D30">
        <f t="shared" si="0"/>
        <v>761278195488721.75</v>
      </c>
      <c r="E30">
        <f>0</f>
        <v>0</v>
      </c>
      <c r="F30">
        <v>-740262515548.74866</v>
      </c>
      <c r="G30">
        <v>9</v>
      </c>
    </row>
    <row r="31" spans="1:7" x14ac:dyDescent="0.2">
      <c r="A31">
        <v>23760</v>
      </c>
      <c r="B31">
        <v>8720</v>
      </c>
      <c r="C31">
        <v>0.33670033670033667</v>
      </c>
      <c r="D31">
        <f t="shared" si="0"/>
        <v>761278195488721.75</v>
      </c>
      <c r="E31">
        <f>0</f>
        <v>0</v>
      </c>
      <c r="F31">
        <v>-624058060952.54114</v>
      </c>
      <c r="G31">
        <v>9</v>
      </c>
    </row>
    <row r="32" spans="1:7" x14ac:dyDescent="0.2">
      <c r="A32">
        <v>24480</v>
      </c>
      <c r="B32">
        <v>8720</v>
      </c>
      <c r="C32">
        <v>0.34722222222222221</v>
      </c>
      <c r="D32">
        <f t="shared" si="0"/>
        <v>761278195488721.75</v>
      </c>
      <c r="E32">
        <f>0</f>
        <v>0</v>
      </c>
      <c r="F32">
        <v>-648885039481.8822</v>
      </c>
      <c r="G32">
        <v>9</v>
      </c>
    </row>
    <row r="33" spans="1:7" x14ac:dyDescent="0.2">
      <c r="A33">
        <v>25200</v>
      </c>
      <c r="B33">
        <v>8720</v>
      </c>
      <c r="C33">
        <v>0.3968253968253968</v>
      </c>
      <c r="D33">
        <f t="shared" si="0"/>
        <v>761278195488721.75</v>
      </c>
      <c r="E33">
        <f>0</f>
        <v>0</v>
      </c>
      <c r="F33">
        <v>-681125245789.88269</v>
      </c>
      <c r="G33">
        <v>9</v>
      </c>
    </row>
    <row r="34" spans="1:7" x14ac:dyDescent="0.2">
      <c r="A34">
        <v>25920</v>
      </c>
      <c r="B34">
        <v>8720</v>
      </c>
      <c r="C34">
        <v>0.46296296296296291</v>
      </c>
      <c r="D34">
        <f t="shared" si="0"/>
        <v>761278195488721.75</v>
      </c>
      <c r="E34">
        <f>0</f>
        <v>0</v>
      </c>
      <c r="F34">
        <v>-724970625902.9054</v>
      </c>
      <c r="G34">
        <v>9</v>
      </c>
    </row>
    <row r="35" spans="1:7" x14ac:dyDescent="0.2">
      <c r="A35">
        <v>26640</v>
      </c>
      <c r="B35">
        <v>8720</v>
      </c>
      <c r="C35">
        <v>0.45045045045045046</v>
      </c>
      <c r="D35">
        <f t="shared" si="0"/>
        <v>761278195488721.75</v>
      </c>
      <c r="E35">
        <f>0</f>
        <v>0</v>
      </c>
      <c r="F35">
        <v>-775751002533.35718</v>
      </c>
      <c r="G35">
        <v>9</v>
      </c>
    </row>
    <row r="36" spans="1:7" x14ac:dyDescent="0.2">
      <c r="A36">
        <v>27504</v>
      </c>
      <c r="B36">
        <v>8954</v>
      </c>
      <c r="C36">
        <v>0.71625945317044792</v>
      </c>
      <c r="D36">
        <f t="shared" si="0"/>
        <v>761278195488721.75</v>
      </c>
      <c r="E36">
        <f>0</f>
        <v>0</v>
      </c>
      <c r="F36">
        <v>-879393785387.14148</v>
      </c>
      <c r="G36">
        <v>9</v>
      </c>
    </row>
    <row r="37" spans="1:7" x14ac:dyDescent="0.2">
      <c r="A37">
        <v>29520</v>
      </c>
      <c r="B37">
        <v>9498</v>
      </c>
      <c r="C37">
        <v>3.5602981029810299</v>
      </c>
      <c r="D37">
        <f t="shared" si="0"/>
        <v>761278195488721.75</v>
      </c>
      <c r="E37">
        <f>0</f>
        <v>0</v>
      </c>
      <c r="F37">
        <v>-10228830520469.936</v>
      </c>
      <c r="G37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CA96-5449-AA4B-A4D0-77FEEFDCEE0C}">
  <dimension ref="A1:G38"/>
  <sheetViews>
    <sheetView workbookViewId="0">
      <selection activeCell="A38" sqref="A38"/>
    </sheetView>
  </sheetViews>
  <sheetFormatPr baseColWidth="10" defaultRowHeight="16" x14ac:dyDescent="0.2"/>
  <cols>
    <col min="4" max="4" width="29.1640625" customWidth="1"/>
    <col min="5" max="5" width="35.83203125" customWidth="1"/>
    <col min="6" max="6" width="26.6640625" customWidth="1"/>
    <col min="7" max="7" width="20.1640625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 s="2">
        <v>8600</v>
      </c>
      <c r="C2">
        <v>0</v>
      </c>
      <c r="D2">
        <v>0</v>
      </c>
      <c r="E2">
        <f>3896*-6*10^11/5.32</f>
        <v>-439398496240601.5</v>
      </c>
      <c r="F2">
        <v>158377323987.70978</v>
      </c>
      <c r="G2">
        <v>14.58</v>
      </c>
    </row>
    <row r="3" spans="1:7" x14ac:dyDescent="0.2">
      <c r="A3">
        <v>270</v>
      </c>
      <c r="B3" s="2">
        <v>8600</v>
      </c>
      <c r="C3">
        <v>7.4074074074074139E-2</v>
      </c>
      <c r="D3">
        <v>0</v>
      </c>
      <c r="E3">
        <f t="shared" ref="E3:E38" si="0">3896*-6*10^11/5.32</f>
        <v>-439398496240601.5</v>
      </c>
      <c r="F3">
        <v>158261767052.92734</v>
      </c>
      <c r="G3">
        <v>14.58</v>
      </c>
    </row>
    <row r="4" spans="1:7" x14ac:dyDescent="0.2">
      <c r="A4">
        <v>630</v>
      </c>
      <c r="B4" s="2">
        <v>8600</v>
      </c>
      <c r="C4">
        <v>7.6190476190476114E-2</v>
      </c>
      <c r="D4">
        <v>0</v>
      </c>
      <c r="E4">
        <f t="shared" si="0"/>
        <v>-439398496240601.5</v>
      </c>
      <c r="F4">
        <v>157984750004.8887</v>
      </c>
      <c r="G4">
        <v>14.58</v>
      </c>
    </row>
    <row r="5" spans="1:7" x14ac:dyDescent="0.2">
      <c r="A5">
        <v>990</v>
      </c>
      <c r="B5" s="2">
        <v>8600</v>
      </c>
      <c r="C5">
        <v>6.5656565656565691E-2</v>
      </c>
      <c r="D5">
        <v>0</v>
      </c>
      <c r="E5">
        <f t="shared" si="0"/>
        <v>-439398496240601.5</v>
      </c>
      <c r="F5">
        <v>157610340941.66672</v>
      </c>
      <c r="G5">
        <v>14.58</v>
      </c>
    </row>
    <row r="6" spans="1:7" x14ac:dyDescent="0.2">
      <c r="A6">
        <v>1485</v>
      </c>
      <c r="B6" s="2">
        <v>8600</v>
      </c>
      <c r="C6">
        <v>6.6666666666666624E-2</v>
      </c>
      <c r="D6">
        <v>0</v>
      </c>
      <c r="E6">
        <f t="shared" si="0"/>
        <v>-439398496240601.5</v>
      </c>
      <c r="F6">
        <v>157041671171.50888</v>
      </c>
      <c r="G6">
        <v>14.58</v>
      </c>
    </row>
    <row r="7" spans="1:7" x14ac:dyDescent="0.2">
      <c r="A7">
        <v>2880</v>
      </c>
      <c r="B7" s="2">
        <v>8580</v>
      </c>
      <c r="C7">
        <v>2.1527777777777812E-2</v>
      </c>
      <c r="D7">
        <v>0</v>
      </c>
      <c r="E7">
        <f t="shared" si="0"/>
        <v>-439398496240601.5</v>
      </c>
      <c r="F7">
        <v>156686506125.15915</v>
      </c>
      <c r="G7">
        <v>14.58</v>
      </c>
    </row>
    <row r="8" spans="1:7" x14ac:dyDescent="0.2">
      <c r="A8">
        <v>3600</v>
      </c>
      <c r="B8" s="2">
        <v>8560</v>
      </c>
      <c r="C8">
        <v>5.1111111111111107E-2</v>
      </c>
      <c r="D8">
        <v>0</v>
      </c>
      <c r="E8">
        <f t="shared" si="0"/>
        <v>-439398496240601.5</v>
      </c>
      <c r="F8">
        <v>155636857747.15271</v>
      </c>
      <c r="G8">
        <v>14.58</v>
      </c>
    </row>
    <row r="9" spans="1:7" x14ac:dyDescent="0.2">
      <c r="A9">
        <v>4320</v>
      </c>
      <c r="B9" s="2">
        <v>8540</v>
      </c>
      <c r="C9">
        <v>6.5509259259259267E-2</v>
      </c>
      <c r="D9">
        <v>0</v>
      </c>
      <c r="E9">
        <f t="shared" si="0"/>
        <v>-439398496240601.5</v>
      </c>
      <c r="F9">
        <v>154035199574.30289</v>
      </c>
      <c r="G9">
        <v>14.58</v>
      </c>
    </row>
    <row r="10" spans="1:7" x14ac:dyDescent="0.2">
      <c r="A10">
        <v>5040</v>
      </c>
      <c r="B10" s="2">
        <v>8520</v>
      </c>
      <c r="C10">
        <v>7.83730158730159E-2</v>
      </c>
      <c r="D10">
        <v>0</v>
      </c>
      <c r="E10">
        <f t="shared" si="0"/>
        <v>-439398496240601.5</v>
      </c>
      <c r="F10">
        <v>151825267597.00827</v>
      </c>
      <c r="G10">
        <v>14.58</v>
      </c>
    </row>
    <row r="11" spans="1:7" x14ac:dyDescent="0.2">
      <c r="A11">
        <v>5760</v>
      </c>
      <c r="B11" s="2">
        <v>8500</v>
      </c>
      <c r="C11">
        <v>0.12430555555555556</v>
      </c>
      <c r="D11">
        <v>0</v>
      </c>
      <c r="E11">
        <f t="shared" si="0"/>
        <v>-439398496240601.5</v>
      </c>
      <c r="F11">
        <v>147894349171.18018</v>
      </c>
      <c r="G11">
        <v>14.58</v>
      </c>
    </row>
    <row r="12" spans="1:7" x14ac:dyDescent="0.2">
      <c r="A12">
        <v>6480</v>
      </c>
      <c r="B12" s="2">
        <v>8480</v>
      </c>
      <c r="C12">
        <v>0.15432098765432098</v>
      </c>
      <c r="D12">
        <v>0</v>
      </c>
      <c r="E12">
        <f t="shared" si="0"/>
        <v>-439398496240601.5</v>
      </c>
      <c r="F12">
        <v>142562350605.88281</v>
      </c>
      <c r="G12">
        <v>14.58</v>
      </c>
    </row>
    <row r="13" spans="1:7" x14ac:dyDescent="0.2">
      <c r="A13">
        <v>7200</v>
      </c>
      <c r="B13" s="2">
        <v>8460</v>
      </c>
      <c r="C13">
        <v>0.21472222222222223</v>
      </c>
      <c r="D13">
        <v>0</v>
      </c>
      <c r="E13">
        <f t="shared" si="0"/>
        <v>-439398496240601.5</v>
      </c>
      <c r="F13">
        <v>134669550431.18185</v>
      </c>
      <c r="G13">
        <v>14.58</v>
      </c>
    </row>
    <row r="14" spans="1:7" x14ac:dyDescent="0.2">
      <c r="A14">
        <v>7920</v>
      </c>
      <c r="B14" s="2">
        <v>8460</v>
      </c>
      <c r="C14">
        <v>0.25176767676767675</v>
      </c>
      <c r="D14">
        <v>0</v>
      </c>
      <c r="E14">
        <f t="shared" si="0"/>
        <v>-439398496240601.5</v>
      </c>
      <c r="F14">
        <v>125088763886.93303</v>
      </c>
      <c r="G14">
        <v>14.58</v>
      </c>
    </row>
    <row r="15" spans="1:7" x14ac:dyDescent="0.2">
      <c r="A15">
        <v>6480</v>
      </c>
      <c r="B15" s="2">
        <v>8460</v>
      </c>
      <c r="C15">
        <v>-0.60339506172839508</v>
      </c>
      <c r="D15">
        <v>0</v>
      </c>
      <c r="E15">
        <f t="shared" si="0"/>
        <v>-439398496240601.5</v>
      </c>
      <c r="F15">
        <v>144514014701.21942</v>
      </c>
      <c r="G15">
        <v>14.58</v>
      </c>
    </row>
    <row r="16" spans="1:7" x14ac:dyDescent="0.2">
      <c r="A16">
        <v>7200</v>
      </c>
      <c r="B16" s="2">
        <v>8460</v>
      </c>
      <c r="C16">
        <v>5.1388888888888928E-2</v>
      </c>
      <c r="D16">
        <v>0</v>
      </c>
      <c r="E16">
        <f t="shared" si="0"/>
        <v>-439398496240601.5</v>
      </c>
      <c r="F16">
        <v>142562350605.88281</v>
      </c>
      <c r="G16">
        <v>14.58</v>
      </c>
    </row>
    <row r="17" spans="1:7" x14ac:dyDescent="0.2">
      <c r="A17">
        <v>7920</v>
      </c>
      <c r="B17" s="2">
        <v>8460</v>
      </c>
      <c r="C17">
        <v>0.10732323232323232</v>
      </c>
      <c r="D17">
        <v>0</v>
      </c>
      <c r="E17">
        <f t="shared" si="0"/>
        <v>-439398496240601.5</v>
      </c>
      <c r="F17">
        <v>138171187209.22491</v>
      </c>
      <c r="G17">
        <v>14.58</v>
      </c>
    </row>
    <row r="18" spans="1:7" x14ac:dyDescent="0.2">
      <c r="A18">
        <v>8640</v>
      </c>
      <c r="B18" s="2">
        <v>8460</v>
      </c>
      <c r="C18">
        <v>0.12615740740740738</v>
      </c>
      <c r="D18">
        <v>0</v>
      </c>
      <c r="E18">
        <f t="shared" si="0"/>
        <v>-439398496240601.5</v>
      </c>
      <c r="F18">
        <v>132724039150.37358</v>
      </c>
      <c r="G18">
        <v>14.58</v>
      </c>
    </row>
    <row r="19" spans="1:7" x14ac:dyDescent="0.2">
      <c r="A19">
        <v>9360</v>
      </c>
      <c r="B19" s="2">
        <v>8460</v>
      </c>
      <c r="C19">
        <v>0.18482905982905978</v>
      </c>
      <c r="D19">
        <v>0</v>
      </c>
      <c r="E19">
        <f t="shared" si="0"/>
        <v>-439398496240601.5</v>
      </c>
      <c r="F19">
        <v>124486681523.8197</v>
      </c>
      <c r="G19">
        <v>14.58</v>
      </c>
    </row>
    <row r="20" spans="1:7" x14ac:dyDescent="0.2">
      <c r="A20">
        <v>10080</v>
      </c>
      <c r="B20" s="2">
        <v>8460</v>
      </c>
      <c r="C20">
        <v>0.31944444444444448</v>
      </c>
      <c r="D20">
        <v>0</v>
      </c>
      <c r="E20">
        <f t="shared" si="0"/>
        <v>-439398496240601.5</v>
      </c>
      <c r="F20">
        <v>110405743729.06453</v>
      </c>
      <c r="G20">
        <v>14.58</v>
      </c>
    </row>
    <row r="21" spans="1:7" x14ac:dyDescent="0.2">
      <c r="A21">
        <v>10800</v>
      </c>
      <c r="B21" s="2">
        <v>8460</v>
      </c>
      <c r="C21">
        <v>0.53703703703703698</v>
      </c>
      <c r="D21">
        <v>0</v>
      </c>
      <c r="E21">
        <f t="shared" si="0"/>
        <v>-439398496240601.5</v>
      </c>
      <c r="F21" s="3">
        <v>88707321125.73909</v>
      </c>
      <c r="G21">
        <v>14.58</v>
      </c>
    </row>
    <row r="22" spans="1:7" x14ac:dyDescent="0.2">
      <c r="A22">
        <v>11520</v>
      </c>
      <c r="B22" s="2">
        <v>8560</v>
      </c>
      <c r="C22">
        <v>0.86805555555555558</v>
      </c>
      <c r="D22">
        <v>0</v>
      </c>
      <c r="E22">
        <f t="shared" si="0"/>
        <v>-439398496240601.5</v>
      </c>
      <c r="F22" s="3">
        <v>60335910011.470474</v>
      </c>
      <c r="G22">
        <v>14.58</v>
      </c>
    </row>
    <row r="23" spans="1:7" x14ac:dyDescent="0.2">
      <c r="A23">
        <v>12240</v>
      </c>
      <c r="B23" s="2">
        <v>8560</v>
      </c>
      <c r="C23">
        <v>1.184640522875817</v>
      </c>
      <c r="D23">
        <v>0</v>
      </c>
      <c r="E23">
        <f t="shared" si="0"/>
        <v>-439398496240601.5</v>
      </c>
      <c r="F23" s="3">
        <v>33842845687.87524</v>
      </c>
      <c r="G23">
        <v>14.58</v>
      </c>
    </row>
    <row r="24" spans="1:7" x14ac:dyDescent="0.2">
      <c r="A24">
        <v>12960</v>
      </c>
      <c r="B24" s="2">
        <v>8600</v>
      </c>
      <c r="C24">
        <v>1.2885802469135803</v>
      </c>
      <c r="D24">
        <v>0</v>
      </c>
      <c r="E24">
        <f t="shared" si="0"/>
        <v>-439398496240601.5</v>
      </c>
      <c r="F24" s="3">
        <v>-30204535880.832146</v>
      </c>
      <c r="G24">
        <v>14.58</v>
      </c>
    </row>
    <row r="25" spans="1:7" x14ac:dyDescent="0.2">
      <c r="A25">
        <v>13680</v>
      </c>
      <c r="B25" s="2">
        <v>8600</v>
      </c>
      <c r="C25">
        <v>1.4181286549707601</v>
      </c>
      <c r="D25">
        <v>0</v>
      </c>
      <c r="E25">
        <f t="shared" si="0"/>
        <v>-439398496240601.5</v>
      </c>
      <c r="F25" s="3">
        <v>-37322001553.029366</v>
      </c>
      <c r="G25">
        <v>14.58</v>
      </c>
    </row>
    <row r="26" spans="1:7" x14ac:dyDescent="0.2">
      <c r="A26">
        <v>14400</v>
      </c>
      <c r="B26" s="2">
        <v>8600</v>
      </c>
      <c r="C26">
        <v>1.3958333333333333</v>
      </c>
      <c r="D26">
        <v>0</v>
      </c>
      <c r="E26">
        <f t="shared" si="0"/>
        <v>-439398496240601.5</v>
      </c>
      <c r="F26" s="3">
        <v>-47143524938.194359</v>
      </c>
      <c r="G26">
        <v>14.58</v>
      </c>
    </row>
    <row r="27" spans="1:7" x14ac:dyDescent="0.2">
      <c r="A27">
        <v>15120</v>
      </c>
      <c r="B27" s="2">
        <v>8600</v>
      </c>
      <c r="C27">
        <v>1.2632275132275133</v>
      </c>
      <c r="D27">
        <v>0</v>
      </c>
      <c r="E27">
        <f t="shared" si="0"/>
        <v>-439398496240601.5</v>
      </c>
      <c r="F27" s="3">
        <v>-59778078741.809685</v>
      </c>
      <c r="G27">
        <v>14.58</v>
      </c>
    </row>
    <row r="28" spans="1:7" x14ac:dyDescent="0.2">
      <c r="A28">
        <v>15840</v>
      </c>
      <c r="B28" s="2">
        <v>8600</v>
      </c>
      <c r="C28">
        <v>1.1994949494949494</v>
      </c>
      <c r="D28">
        <v>0</v>
      </c>
      <c r="E28">
        <f t="shared" si="0"/>
        <v>-439398496240601.5</v>
      </c>
      <c r="F28" s="3">
        <v>-77013939763.679581</v>
      </c>
      <c r="G28">
        <v>14.58</v>
      </c>
    </row>
    <row r="29" spans="1:7" x14ac:dyDescent="0.2">
      <c r="A29">
        <v>16560</v>
      </c>
      <c r="B29" s="2">
        <v>8600</v>
      </c>
      <c r="C29">
        <v>1.0869565217391304</v>
      </c>
      <c r="D29">
        <v>0</v>
      </c>
      <c r="E29">
        <f t="shared" si="0"/>
        <v>-439398496240601.5</v>
      </c>
      <c r="F29" s="3">
        <v>-99702867055.35022</v>
      </c>
      <c r="G29">
        <v>14.58</v>
      </c>
    </row>
    <row r="30" spans="1:7" x14ac:dyDescent="0.2">
      <c r="A30">
        <v>18000</v>
      </c>
      <c r="B30" s="2">
        <v>8600</v>
      </c>
      <c r="C30">
        <v>1.7000000000000002</v>
      </c>
      <c r="D30">
        <v>0</v>
      </c>
      <c r="E30">
        <f t="shared" si="0"/>
        <v>-439398496240601.5</v>
      </c>
      <c r="F30">
        <v>-206945087388.68549</v>
      </c>
      <c r="G30">
        <v>14.58</v>
      </c>
    </row>
    <row r="31" spans="1:7" x14ac:dyDescent="0.2">
      <c r="A31">
        <v>18720</v>
      </c>
      <c r="B31" s="2">
        <v>8600</v>
      </c>
      <c r="C31">
        <v>0.72115384615384615</v>
      </c>
      <c r="D31">
        <v>0</v>
      </c>
      <c r="E31">
        <f t="shared" si="0"/>
        <v>-439398496240601.5</v>
      </c>
      <c r="F31">
        <v>-294173697014.70471</v>
      </c>
      <c r="G31">
        <v>14.58</v>
      </c>
    </row>
    <row r="32" spans="1:7" x14ac:dyDescent="0.2">
      <c r="A32">
        <v>20880</v>
      </c>
      <c r="B32" s="2">
        <v>8600</v>
      </c>
      <c r="C32">
        <v>1.6379310344827587</v>
      </c>
      <c r="D32">
        <v>0</v>
      </c>
      <c r="E32">
        <f t="shared" si="0"/>
        <v>-439398496240601.5</v>
      </c>
      <c r="F32">
        <v>-431577742010.61847</v>
      </c>
      <c r="G32">
        <v>14.58</v>
      </c>
    </row>
    <row r="33" spans="1:7" x14ac:dyDescent="0.2">
      <c r="A33">
        <v>21600</v>
      </c>
      <c r="B33" s="2">
        <v>8600</v>
      </c>
      <c r="C33">
        <v>0.46759259259259262</v>
      </c>
      <c r="D33">
        <v>0</v>
      </c>
      <c r="E33">
        <f t="shared" si="0"/>
        <v>-439398496240601.5</v>
      </c>
      <c r="F33">
        <v>-461813425281.67657</v>
      </c>
      <c r="G33">
        <v>14.58</v>
      </c>
    </row>
    <row r="34" spans="1:7" x14ac:dyDescent="0.2">
      <c r="A34">
        <v>23040</v>
      </c>
      <c r="B34" s="2">
        <v>8600</v>
      </c>
      <c r="C34">
        <v>0.86805555555555558</v>
      </c>
      <c r="D34">
        <v>0</v>
      </c>
      <c r="E34">
        <f t="shared" si="0"/>
        <v>-439398496240601.5</v>
      </c>
      <c r="F34">
        <v>-536046126954.51605</v>
      </c>
      <c r="G34">
        <v>14.58</v>
      </c>
    </row>
    <row r="35" spans="1:7" x14ac:dyDescent="0.2">
      <c r="A35">
        <v>23760</v>
      </c>
      <c r="B35" s="2">
        <v>8600</v>
      </c>
      <c r="C35">
        <v>0.46296296296296291</v>
      </c>
      <c r="D35">
        <v>0</v>
      </c>
      <c r="E35">
        <f t="shared" si="0"/>
        <v>-439398496240601.5</v>
      </c>
      <c r="F35">
        <v>-587916912680.87317</v>
      </c>
      <c r="G35">
        <v>14.58</v>
      </c>
    </row>
    <row r="36" spans="1:7" x14ac:dyDescent="0.2">
      <c r="A36">
        <v>24624</v>
      </c>
      <c r="B36" s="2">
        <v>8840</v>
      </c>
      <c r="C36">
        <v>0.5929174788823911</v>
      </c>
      <c r="D36">
        <v>0</v>
      </c>
      <c r="E36">
        <f t="shared" si="0"/>
        <v>-439398496240601.5</v>
      </c>
      <c r="F36">
        <v>-674363497789.08679</v>
      </c>
      <c r="G36">
        <v>14.58</v>
      </c>
    </row>
    <row r="37" spans="1:7" x14ac:dyDescent="0.2">
      <c r="A37">
        <v>25344</v>
      </c>
      <c r="B37" s="2">
        <v>9080</v>
      </c>
      <c r="C37">
        <v>0.56818181818181823</v>
      </c>
      <c r="D37">
        <v>0</v>
      </c>
      <c r="E37">
        <f t="shared" si="0"/>
        <v>-439398496240601.5</v>
      </c>
      <c r="F37">
        <v>-788425310286.29028</v>
      </c>
      <c r="G37">
        <v>14.58</v>
      </c>
    </row>
    <row r="38" spans="1:7" x14ac:dyDescent="0.2">
      <c r="A38">
        <v>26784</v>
      </c>
      <c r="B38" s="2">
        <v>9320</v>
      </c>
      <c r="C38">
        <v>1.6801075268817203</v>
      </c>
      <c r="D38">
        <v>0</v>
      </c>
      <c r="E38">
        <f t="shared" si="0"/>
        <v>-439398496240601.5</v>
      </c>
      <c r="F38">
        <v>-1659768858745.9045</v>
      </c>
      <c r="G38">
        <v>14.58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D0E67-669B-0E40-8026-FBB51A1A2CEE}">
  <dimension ref="A1:G32"/>
  <sheetViews>
    <sheetView workbookViewId="0">
      <selection activeCell="E35" sqref="E35"/>
    </sheetView>
  </sheetViews>
  <sheetFormatPr baseColWidth="10" defaultRowHeight="16" x14ac:dyDescent="0.2"/>
  <cols>
    <col min="4" max="4" width="29" customWidth="1"/>
    <col min="5" max="5" width="27.83203125" customWidth="1"/>
    <col min="6" max="6" width="20" customWidth="1"/>
    <col min="7" max="7" width="18.3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8600</v>
      </c>
      <c r="C2">
        <v>0</v>
      </c>
      <c r="D2">
        <f>5*10^11*1108/5.32</f>
        <v>104135338345864.66</v>
      </c>
      <c r="E2">
        <f>2538*3.65*10^11/5.32</f>
        <v>174129699248120.28</v>
      </c>
      <c r="F2">
        <v>563293365623.64966</v>
      </c>
      <c r="G2">
        <v>11.27</v>
      </c>
    </row>
    <row r="3" spans="1:7" x14ac:dyDescent="0.2">
      <c r="A3">
        <v>360</v>
      </c>
      <c r="B3">
        <v>8600</v>
      </c>
      <c r="C3">
        <v>0.49166666666666664</v>
      </c>
      <c r="D3">
        <f t="shared" ref="D3:D30" si="0">5*10^11*1108/5.32</f>
        <v>104135338345864.66</v>
      </c>
      <c r="E3">
        <f t="shared" ref="E3:E30" si="1">2538*3.65*10^11/5.32</f>
        <v>174129699248120.28</v>
      </c>
      <c r="F3">
        <v>561805859933.53772</v>
      </c>
      <c r="G3">
        <v>11.27</v>
      </c>
    </row>
    <row r="4" spans="1:7" x14ac:dyDescent="0.2">
      <c r="A4">
        <v>720</v>
      </c>
      <c r="B4">
        <v>8600</v>
      </c>
      <c r="C4">
        <v>0.17499999999999996</v>
      </c>
      <c r="D4">
        <f t="shared" si="0"/>
        <v>104135338345864.66</v>
      </c>
      <c r="E4">
        <f t="shared" si="1"/>
        <v>174129699248120.28</v>
      </c>
      <c r="F4">
        <v>560748907394.10681</v>
      </c>
      <c r="G4">
        <v>11.27</v>
      </c>
    </row>
    <row r="5" spans="1:7" x14ac:dyDescent="0.2">
      <c r="A5">
        <v>1080</v>
      </c>
      <c r="B5">
        <v>8600</v>
      </c>
      <c r="C5">
        <v>0.17685185185185182</v>
      </c>
      <c r="D5">
        <f t="shared" si="0"/>
        <v>104135338345864.66</v>
      </c>
      <c r="E5">
        <f t="shared" si="1"/>
        <v>174129699248120.28</v>
      </c>
      <c r="F5">
        <v>559149789022.81836</v>
      </c>
      <c r="G5">
        <v>11.27</v>
      </c>
    </row>
    <row r="6" spans="1:7" x14ac:dyDescent="0.2">
      <c r="A6">
        <v>1440</v>
      </c>
      <c r="B6">
        <v>8600</v>
      </c>
      <c r="C6">
        <v>0.19722222222222219</v>
      </c>
      <c r="D6">
        <f t="shared" si="0"/>
        <v>104135338345864.66</v>
      </c>
      <c r="E6">
        <f t="shared" si="1"/>
        <v>174129699248120.28</v>
      </c>
      <c r="F6">
        <v>556778908333.27649</v>
      </c>
      <c r="G6">
        <v>11.27</v>
      </c>
    </row>
    <row r="7" spans="1:7" x14ac:dyDescent="0.2">
      <c r="A7">
        <v>2880</v>
      </c>
      <c r="B7">
        <v>8580</v>
      </c>
      <c r="C7">
        <v>8.4374999999999992E-2</v>
      </c>
      <c r="D7">
        <f t="shared" si="0"/>
        <v>104135338345864.66</v>
      </c>
      <c r="E7">
        <f t="shared" si="1"/>
        <v>174129699248120.28</v>
      </c>
      <c r="F7">
        <v>554756805940.51807</v>
      </c>
      <c r="G7">
        <v>11.27</v>
      </c>
    </row>
    <row r="8" spans="1:7" x14ac:dyDescent="0.2">
      <c r="A8">
        <v>3600</v>
      </c>
      <c r="B8">
        <v>8560</v>
      </c>
      <c r="C8">
        <v>0.16750000000000004</v>
      </c>
      <c r="D8">
        <f t="shared" si="0"/>
        <v>104135338345864.66</v>
      </c>
      <c r="E8">
        <f t="shared" si="1"/>
        <v>174129699248120.28</v>
      </c>
      <c r="F8">
        <v>549764810796.23804</v>
      </c>
      <c r="G8">
        <v>11.27</v>
      </c>
    </row>
    <row r="9" spans="1:7" x14ac:dyDescent="0.2">
      <c r="A9">
        <v>4320</v>
      </c>
      <c r="B9">
        <v>8540</v>
      </c>
      <c r="C9">
        <v>0.17291666666666664</v>
      </c>
      <c r="D9">
        <f t="shared" si="0"/>
        <v>104135338345864.66</v>
      </c>
      <c r="E9">
        <f t="shared" si="1"/>
        <v>174129699248120.28</v>
      </c>
      <c r="F9">
        <v>543631473423.88251</v>
      </c>
      <c r="G9">
        <v>11.27</v>
      </c>
    </row>
    <row r="10" spans="1:7" x14ac:dyDescent="0.2">
      <c r="A10">
        <v>5040</v>
      </c>
      <c r="B10">
        <v>8520</v>
      </c>
      <c r="C10">
        <v>0.22400793650793649</v>
      </c>
      <c r="D10">
        <f t="shared" si="0"/>
        <v>104135338345864.66</v>
      </c>
      <c r="E10">
        <f t="shared" si="1"/>
        <v>174129699248120.28</v>
      </c>
      <c r="F10">
        <v>534467491509.26917</v>
      </c>
      <c r="G10">
        <v>11.27</v>
      </c>
    </row>
    <row r="11" spans="1:7" x14ac:dyDescent="0.2">
      <c r="A11">
        <v>5760</v>
      </c>
      <c r="B11">
        <v>8500</v>
      </c>
      <c r="C11">
        <v>0.31302083333333336</v>
      </c>
      <c r="D11">
        <f t="shared" si="0"/>
        <v>104135338345864.66</v>
      </c>
      <c r="E11">
        <f t="shared" si="1"/>
        <v>174129699248120.28</v>
      </c>
      <c r="F11">
        <v>520093777688.58948</v>
      </c>
      <c r="G11">
        <v>11.27</v>
      </c>
    </row>
    <row r="12" spans="1:7" x14ac:dyDescent="0.2">
      <c r="A12">
        <v>6480</v>
      </c>
      <c r="B12">
        <v>8480</v>
      </c>
      <c r="C12">
        <v>0.46280864197530858</v>
      </c>
      <c r="D12">
        <f t="shared" si="0"/>
        <v>104135338345864.66</v>
      </c>
      <c r="E12">
        <f t="shared" si="1"/>
        <v>174129699248120.28</v>
      </c>
      <c r="F12">
        <v>496883370517.60034</v>
      </c>
      <c r="G12">
        <v>11.27</v>
      </c>
    </row>
    <row r="13" spans="1:7" x14ac:dyDescent="0.2">
      <c r="A13">
        <v>7200</v>
      </c>
      <c r="B13">
        <v>8460</v>
      </c>
      <c r="C13">
        <v>0.64097222222222228</v>
      </c>
      <c r="D13">
        <f t="shared" si="0"/>
        <v>104135338345864.66</v>
      </c>
      <c r="E13">
        <f t="shared" si="1"/>
        <v>174129699248120.28</v>
      </c>
      <c r="F13">
        <v>462818752859.66998</v>
      </c>
      <c r="G13">
        <v>11.27</v>
      </c>
    </row>
    <row r="14" spans="1:7" x14ac:dyDescent="0.2">
      <c r="A14">
        <v>7920</v>
      </c>
      <c r="B14">
        <v>8600</v>
      </c>
      <c r="C14">
        <v>1.1742424242424241</v>
      </c>
      <c r="D14">
        <f t="shared" si="0"/>
        <v>104135338345864.66</v>
      </c>
      <c r="E14">
        <f t="shared" si="1"/>
        <v>174129699248120.28</v>
      </c>
      <c r="F14">
        <v>399936517867.68121</v>
      </c>
      <c r="G14">
        <v>11.27</v>
      </c>
    </row>
    <row r="15" spans="1:7" x14ac:dyDescent="0.2">
      <c r="A15">
        <v>8640</v>
      </c>
      <c r="B15">
        <v>8600</v>
      </c>
      <c r="C15">
        <v>1.238425925925926</v>
      </c>
      <c r="D15">
        <f t="shared" si="0"/>
        <v>104135338345864.66</v>
      </c>
      <c r="E15">
        <f t="shared" si="1"/>
        <v>174129699248120.28</v>
      </c>
      <c r="F15">
        <v>336378881434.96307</v>
      </c>
      <c r="G15">
        <v>11.27</v>
      </c>
    </row>
    <row r="16" spans="1:7" x14ac:dyDescent="0.2">
      <c r="A16">
        <v>9360</v>
      </c>
      <c r="B16">
        <v>8600</v>
      </c>
      <c r="C16">
        <v>1.5491452991452992</v>
      </c>
      <c r="D16">
        <f t="shared" si="0"/>
        <v>104135338345864.66</v>
      </c>
      <c r="E16">
        <f t="shared" si="1"/>
        <v>174129699248120.28</v>
      </c>
      <c r="F16">
        <v>263605397398.63547</v>
      </c>
      <c r="G16">
        <v>11.27</v>
      </c>
    </row>
    <row r="17" spans="1:7" x14ac:dyDescent="0.2">
      <c r="A17">
        <v>10080</v>
      </c>
      <c r="B17">
        <v>8600</v>
      </c>
      <c r="C17">
        <v>1.6369047619047621</v>
      </c>
      <c r="D17">
        <f t="shared" si="0"/>
        <v>104135338345864.66</v>
      </c>
      <c r="E17">
        <f t="shared" si="1"/>
        <v>174129699248120.28</v>
      </c>
      <c r="F17">
        <v>251552959428.61566</v>
      </c>
      <c r="G17">
        <v>11.27</v>
      </c>
    </row>
    <row r="18" spans="1:7" x14ac:dyDescent="0.2">
      <c r="A18">
        <v>10800</v>
      </c>
      <c r="B18">
        <v>8600</v>
      </c>
      <c r="C18">
        <v>1.712962962962963</v>
      </c>
      <c r="D18">
        <f t="shared" si="0"/>
        <v>104135338345864.66</v>
      </c>
      <c r="E18">
        <f t="shared" si="1"/>
        <v>174129699248120.28</v>
      </c>
      <c r="F18">
        <v>191510207299.30505</v>
      </c>
      <c r="G18">
        <v>11.27</v>
      </c>
    </row>
    <row r="19" spans="1:7" x14ac:dyDescent="0.2">
      <c r="A19">
        <v>11520</v>
      </c>
      <c r="B19">
        <v>8600</v>
      </c>
      <c r="C19">
        <v>1.5190972222222221</v>
      </c>
      <c r="D19">
        <f t="shared" si="0"/>
        <v>104135338345864.66</v>
      </c>
      <c r="E19">
        <f t="shared" si="1"/>
        <v>174129699248120.28</v>
      </c>
      <c r="F19">
        <v>145432100364.99408</v>
      </c>
      <c r="G19">
        <v>11.27</v>
      </c>
    </row>
    <row r="20" spans="1:7" x14ac:dyDescent="0.2">
      <c r="A20">
        <v>12240</v>
      </c>
      <c r="B20">
        <v>8600</v>
      </c>
      <c r="C20">
        <v>1.5931372549019607</v>
      </c>
      <c r="D20">
        <f t="shared" si="0"/>
        <v>104135338345864.66</v>
      </c>
      <c r="E20">
        <f t="shared" si="1"/>
        <v>174129699248120.28</v>
      </c>
      <c r="F20">
        <v>104619217304.69749</v>
      </c>
      <c r="G20">
        <v>11.27</v>
      </c>
    </row>
    <row r="21" spans="1:7" x14ac:dyDescent="0.2">
      <c r="A21">
        <v>12960</v>
      </c>
      <c r="B21">
        <v>8600</v>
      </c>
      <c r="C21">
        <v>1.5046296296296295</v>
      </c>
      <c r="D21">
        <f t="shared" si="0"/>
        <v>104135338345864.66</v>
      </c>
      <c r="E21">
        <f t="shared" si="1"/>
        <v>174129699248120.28</v>
      </c>
      <c r="F21" s="3">
        <v>73194074908.688171</v>
      </c>
      <c r="G21">
        <v>11.27</v>
      </c>
    </row>
    <row r="22" spans="1:7" x14ac:dyDescent="0.2">
      <c r="A22">
        <v>13680</v>
      </c>
      <c r="B22">
        <v>8600</v>
      </c>
      <c r="C22">
        <v>1.4254385964912279</v>
      </c>
      <c r="D22">
        <f t="shared" si="0"/>
        <v>104135338345864.66</v>
      </c>
      <c r="E22">
        <f t="shared" si="1"/>
        <v>174129699248120.28</v>
      </c>
      <c r="F22" s="3">
        <v>49547421707.717552</v>
      </c>
      <c r="G22">
        <v>11.27</v>
      </c>
    </row>
    <row r="23" spans="1:7" x14ac:dyDescent="0.2">
      <c r="A23">
        <v>14400</v>
      </c>
      <c r="B23">
        <v>8600</v>
      </c>
      <c r="C23">
        <v>1.2847222222222221</v>
      </c>
      <c r="D23">
        <f t="shared" si="0"/>
        <v>104135338345864.66</v>
      </c>
      <c r="E23">
        <f t="shared" si="1"/>
        <v>174129699248120.28</v>
      </c>
      <c r="F23">
        <v>-317794901874.48071</v>
      </c>
      <c r="G23">
        <v>11.27</v>
      </c>
    </row>
    <row r="24" spans="1:7" x14ac:dyDescent="0.2">
      <c r="A24">
        <v>15120</v>
      </c>
      <c r="B24">
        <v>8600</v>
      </c>
      <c r="C24">
        <v>1.2103174603174605</v>
      </c>
      <c r="D24">
        <f t="shared" si="0"/>
        <v>104135338345864.66</v>
      </c>
      <c r="E24">
        <f t="shared" si="1"/>
        <v>174129699248120.28</v>
      </c>
      <c r="F24">
        <v>-694285883431.87744</v>
      </c>
      <c r="G24">
        <v>11.27</v>
      </c>
    </row>
    <row r="25" spans="1:7" x14ac:dyDescent="0.2">
      <c r="A25">
        <v>16560</v>
      </c>
      <c r="B25">
        <v>8600</v>
      </c>
      <c r="C25">
        <v>2.1859903381642511</v>
      </c>
      <c r="D25">
        <f t="shared" si="0"/>
        <v>104135338345864.66</v>
      </c>
      <c r="E25">
        <f t="shared" si="1"/>
        <v>174129699248120.28</v>
      </c>
      <c r="F25">
        <v>-1587504646627.3394</v>
      </c>
      <c r="G25">
        <v>11.27</v>
      </c>
    </row>
    <row r="26" spans="1:7" x14ac:dyDescent="0.2">
      <c r="A26">
        <v>17280</v>
      </c>
      <c r="B26">
        <v>8600</v>
      </c>
      <c r="C26">
        <v>1.0590277777777779</v>
      </c>
      <c r="D26">
        <f t="shared" si="0"/>
        <v>104135338345864.66</v>
      </c>
      <c r="E26">
        <f t="shared" si="1"/>
        <v>174129699248120.28</v>
      </c>
      <c r="F26">
        <v>-1813913713258.8457</v>
      </c>
      <c r="G26">
        <v>11.27</v>
      </c>
    </row>
    <row r="27" spans="1:7" x14ac:dyDescent="0.2">
      <c r="A27">
        <v>17438.399999999998</v>
      </c>
      <c r="B27">
        <v>8840</v>
      </c>
      <c r="C27">
        <v>0.24084778420038538</v>
      </c>
      <c r="D27">
        <f t="shared" si="0"/>
        <v>104135338345864.66</v>
      </c>
      <c r="E27">
        <f t="shared" si="1"/>
        <v>174129699248120.28</v>
      </c>
      <c r="F27">
        <v>-1876108131715.6543</v>
      </c>
      <c r="G27">
        <v>11.27</v>
      </c>
    </row>
    <row r="28" spans="1:7" x14ac:dyDescent="0.2">
      <c r="A28">
        <v>18432</v>
      </c>
      <c r="B28">
        <v>9116</v>
      </c>
      <c r="C28">
        <v>1.7144097222222223</v>
      </c>
      <c r="D28">
        <f t="shared" si="0"/>
        <v>104135338345864.66</v>
      </c>
      <c r="E28">
        <f t="shared" si="1"/>
        <v>174129699248120.28</v>
      </c>
      <c r="F28">
        <v>-2550074581837.8164</v>
      </c>
      <c r="G28">
        <v>11.27</v>
      </c>
    </row>
    <row r="29" spans="1:7" x14ac:dyDescent="0.2">
      <c r="A29">
        <v>19152</v>
      </c>
      <c r="B29">
        <v>9316</v>
      </c>
      <c r="C29">
        <v>1.9005847953216373</v>
      </c>
      <c r="D29">
        <f t="shared" si="0"/>
        <v>104135338345864.66</v>
      </c>
      <c r="E29">
        <f t="shared" si="1"/>
        <v>174129699248120.28</v>
      </c>
      <c r="F29">
        <v>-4559937316273.4541</v>
      </c>
      <c r="G29">
        <v>11.27</v>
      </c>
    </row>
    <row r="30" spans="1:7" x14ac:dyDescent="0.2">
      <c r="A30">
        <v>19440</v>
      </c>
      <c r="B30">
        <v>9396</v>
      </c>
      <c r="C30">
        <v>1.4917695473251029</v>
      </c>
      <c r="D30">
        <f t="shared" si="0"/>
        <v>104135338345864.66</v>
      </c>
      <c r="E30">
        <f t="shared" si="1"/>
        <v>174129699248120.28</v>
      </c>
      <c r="F30">
        <v>-25481312816759.242</v>
      </c>
      <c r="G30">
        <v>11.27</v>
      </c>
    </row>
    <row r="32" spans="1:7" x14ac:dyDescent="0.2">
      <c r="F32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C5F8D-B239-604A-B361-6687E61413D8}">
  <dimension ref="A1:G35"/>
  <sheetViews>
    <sheetView topLeftCell="D1" workbookViewId="0">
      <selection activeCell="G2" sqref="G2:G35"/>
    </sheetView>
  </sheetViews>
  <sheetFormatPr baseColWidth="10" defaultRowHeight="16" x14ac:dyDescent="0.2"/>
  <cols>
    <col min="3" max="3" width="19.5" customWidth="1"/>
    <col min="4" max="4" width="32.6640625" customWidth="1"/>
    <col min="5" max="5" width="32.5" customWidth="1"/>
    <col min="6" max="6" width="20.83203125" customWidth="1"/>
    <col min="7" max="7" width="19.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8620</v>
      </c>
      <c r="C2">
        <v>0</v>
      </c>
      <c r="D2">
        <v>0</v>
      </c>
      <c r="E2">
        <f>3497*2.1*10^12/5.32</f>
        <v>1380394736842105.5</v>
      </c>
      <c r="F2">
        <v>611756937906.91211</v>
      </c>
      <c r="G2">
        <v>21.83</v>
      </c>
    </row>
    <row r="3" spans="1:7" x14ac:dyDescent="0.2">
      <c r="A3">
        <v>270</v>
      </c>
      <c r="B3">
        <v>8620</v>
      </c>
      <c r="C3">
        <v>0.41111111111111104</v>
      </c>
      <c r="D3">
        <v>0</v>
      </c>
      <c r="E3">
        <f t="shared" ref="E3:E35" si="0">3497*2.1*10^12/5.32</f>
        <v>1380394736842105.5</v>
      </c>
      <c r="F3">
        <v>610702798649.28101</v>
      </c>
      <c r="G3">
        <v>21.83</v>
      </c>
    </row>
    <row r="4" spans="1:7" x14ac:dyDescent="0.2">
      <c r="A4">
        <v>540</v>
      </c>
      <c r="B4">
        <v>8620</v>
      </c>
      <c r="C4">
        <v>0.1537037037037037</v>
      </c>
      <c r="D4">
        <v>0</v>
      </c>
      <c r="E4">
        <f t="shared" si="0"/>
        <v>1380394736842105.5</v>
      </c>
      <c r="F4">
        <v>609915535093.0542</v>
      </c>
      <c r="G4">
        <v>21.83</v>
      </c>
    </row>
    <row r="5" spans="1:7" x14ac:dyDescent="0.2">
      <c r="A5">
        <v>810</v>
      </c>
      <c r="B5">
        <v>8620</v>
      </c>
      <c r="C5">
        <v>7.5308641975308677E-2</v>
      </c>
      <c r="D5">
        <v>0</v>
      </c>
      <c r="E5">
        <f t="shared" si="0"/>
        <v>1380394736842105.5</v>
      </c>
      <c r="F5">
        <v>609337470723.36853</v>
      </c>
      <c r="G5">
        <v>21.83</v>
      </c>
    </row>
    <row r="6" spans="1:7" x14ac:dyDescent="0.2">
      <c r="A6">
        <v>1170</v>
      </c>
      <c r="B6">
        <v>8620</v>
      </c>
      <c r="C6">
        <v>8.8034188034187971E-2</v>
      </c>
      <c r="D6">
        <v>0</v>
      </c>
      <c r="E6">
        <f t="shared" si="0"/>
        <v>1380394736842105.5</v>
      </c>
      <c r="F6">
        <v>608362407292.62585</v>
      </c>
      <c r="G6">
        <v>21.83</v>
      </c>
    </row>
    <row r="7" spans="1:7" x14ac:dyDescent="0.2">
      <c r="A7">
        <v>1530</v>
      </c>
      <c r="B7">
        <v>8620</v>
      </c>
      <c r="C7">
        <v>6.9281045751634018E-2</v>
      </c>
      <c r="D7">
        <v>0</v>
      </c>
      <c r="E7">
        <f t="shared" si="0"/>
        <v>1380394736842105.5</v>
      </c>
      <c r="F7">
        <v>607360270655.02161</v>
      </c>
      <c r="G7">
        <v>21.83</v>
      </c>
    </row>
    <row r="8" spans="1:7" x14ac:dyDescent="0.2">
      <c r="A8">
        <v>2880</v>
      </c>
      <c r="B8">
        <v>8600</v>
      </c>
      <c r="C8">
        <v>3.8194444444444434E-2</v>
      </c>
      <c r="D8">
        <v>0</v>
      </c>
      <c r="E8">
        <f t="shared" si="0"/>
        <v>1380394736842105.5</v>
      </c>
      <c r="F8">
        <v>606321738937.58801</v>
      </c>
      <c r="G8">
        <v>21.83</v>
      </c>
    </row>
    <row r="9" spans="1:7" x14ac:dyDescent="0.2">
      <c r="A9">
        <v>3600</v>
      </c>
      <c r="B9">
        <v>8580</v>
      </c>
      <c r="C9">
        <v>5.6111111111111098E-2</v>
      </c>
      <c r="D9">
        <v>0</v>
      </c>
      <c r="E9">
        <f t="shared" si="0"/>
        <v>1380394736842105.5</v>
      </c>
      <c r="F9">
        <v>604418382216.90332</v>
      </c>
      <c r="G9">
        <v>21.83</v>
      </c>
    </row>
    <row r="10" spans="1:7" x14ac:dyDescent="0.2">
      <c r="A10">
        <v>4320</v>
      </c>
      <c r="B10">
        <v>8560</v>
      </c>
      <c r="C10">
        <v>6.8981481481481491E-2</v>
      </c>
      <c r="D10">
        <v>0</v>
      </c>
      <c r="E10">
        <f t="shared" si="0"/>
        <v>1380394736842105.5</v>
      </c>
      <c r="F10">
        <v>601619343756.79187</v>
      </c>
      <c r="G10">
        <v>21.83</v>
      </c>
    </row>
    <row r="11" spans="1:7" x14ac:dyDescent="0.2">
      <c r="A11">
        <v>5040</v>
      </c>
      <c r="B11">
        <v>8540</v>
      </c>
      <c r="C11">
        <v>0.10099206349206352</v>
      </c>
      <c r="D11">
        <v>0</v>
      </c>
      <c r="E11">
        <f t="shared" si="0"/>
        <v>1380394736842105.5</v>
      </c>
      <c r="F11">
        <v>596862846243.71045</v>
      </c>
      <c r="G11">
        <v>21.83</v>
      </c>
    </row>
    <row r="12" spans="1:7" x14ac:dyDescent="0.2">
      <c r="A12">
        <v>5760</v>
      </c>
      <c r="B12">
        <v>8520</v>
      </c>
      <c r="C12">
        <v>0.11666666666666665</v>
      </c>
      <c r="D12">
        <v>0</v>
      </c>
      <c r="E12">
        <f t="shared" si="0"/>
        <v>1380394736842105.5</v>
      </c>
      <c r="F12">
        <v>590630084169.64856</v>
      </c>
      <c r="G12">
        <v>21.83</v>
      </c>
    </row>
    <row r="13" spans="1:7" x14ac:dyDescent="0.2">
      <c r="A13">
        <v>6480</v>
      </c>
      <c r="B13">
        <v>8500</v>
      </c>
      <c r="C13">
        <v>0.14969135802469141</v>
      </c>
      <c r="D13">
        <v>0</v>
      </c>
      <c r="E13">
        <f t="shared" si="0"/>
        <v>1380394736842105.5</v>
      </c>
      <c r="F13">
        <v>581726924333.8623</v>
      </c>
      <c r="G13">
        <v>21.83</v>
      </c>
    </row>
    <row r="14" spans="1:7" x14ac:dyDescent="0.2">
      <c r="A14">
        <v>7200</v>
      </c>
      <c r="B14">
        <v>8480</v>
      </c>
      <c r="C14">
        <v>0.22652777777777772</v>
      </c>
      <c r="D14">
        <v>0</v>
      </c>
      <c r="E14">
        <f t="shared" si="0"/>
        <v>1380394736842105.5</v>
      </c>
      <c r="F14">
        <v>567003236301.65356</v>
      </c>
      <c r="G14">
        <v>21.83</v>
      </c>
    </row>
    <row r="15" spans="1:7" x14ac:dyDescent="0.2">
      <c r="A15">
        <v>7920</v>
      </c>
      <c r="B15">
        <v>8460</v>
      </c>
      <c r="C15">
        <v>0.35227272727272735</v>
      </c>
      <c r="D15">
        <v>0</v>
      </c>
      <c r="E15">
        <f t="shared" si="0"/>
        <v>1380394736842105.5</v>
      </c>
      <c r="F15">
        <v>542520820660.38147</v>
      </c>
      <c r="G15">
        <v>21.83</v>
      </c>
    </row>
    <row r="16" spans="1:7" x14ac:dyDescent="0.2">
      <c r="A16">
        <v>8640</v>
      </c>
      <c r="B16">
        <v>8460</v>
      </c>
      <c r="C16">
        <v>0.62083333333333335</v>
      </c>
      <c r="D16">
        <v>0</v>
      </c>
      <c r="E16">
        <f t="shared" si="0"/>
        <v>1380394736842105.5</v>
      </c>
      <c r="F16">
        <v>497868260194.26556</v>
      </c>
      <c r="G16">
        <v>21.83</v>
      </c>
    </row>
    <row r="17" spans="1:7" x14ac:dyDescent="0.2">
      <c r="A17">
        <v>9360</v>
      </c>
      <c r="B17">
        <v>8600</v>
      </c>
      <c r="C17">
        <v>0.94284188034188032</v>
      </c>
      <c r="D17">
        <v>0</v>
      </c>
      <c r="E17">
        <f t="shared" si="0"/>
        <v>1380394736842105.5</v>
      </c>
      <c r="F17">
        <v>430941191832.05212</v>
      </c>
      <c r="G17">
        <v>21.83</v>
      </c>
    </row>
    <row r="18" spans="1:7" x14ac:dyDescent="0.2">
      <c r="A18">
        <v>10080</v>
      </c>
      <c r="B18">
        <v>8620</v>
      </c>
      <c r="C18">
        <v>1.4683531746031744</v>
      </c>
      <c r="D18">
        <v>0</v>
      </c>
      <c r="E18">
        <f t="shared" si="0"/>
        <v>1380394736842105.5</v>
      </c>
      <c r="F18">
        <v>335223863582.05334</v>
      </c>
      <c r="G18">
        <v>21.83</v>
      </c>
    </row>
    <row r="19" spans="1:7" x14ac:dyDescent="0.2">
      <c r="A19">
        <v>10800</v>
      </c>
      <c r="B19">
        <v>8640</v>
      </c>
      <c r="C19">
        <v>1.5677777777777784</v>
      </c>
      <c r="D19">
        <v>0</v>
      </c>
      <c r="E19">
        <f t="shared" si="0"/>
        <v>1380394736842105.5</v>
      </c>
      <c r="F19">
        <v>349389301224.63306</v>
      </c>
      <c r="G19">
        <v>21.83</v>
      </c>
    </row>
    <row r="20" spans="1:7" x14ac:dyDescent="0.2">
      <c r="A20">
        <v>11520</v>
      </c>
      <c r="B20">
        <v>8640</v>
      </c>
      <c r="C20">
        <v>1.9088541666666663</v>
      </c>
      <c r="D20">
        <v>0</v>
      </c>
      <c r="E20">
        <f t="shared" si="0"/>
        <v>1380394736842105.5</v>
      </c>
      <c r="F20">
        <v>338645168464.57971</v>
      </c>
      <c r="G20">
        <v>21.83</v>
      </c>
    </row>
    <row r="21" spans="1:7" x14ac:dyDescent="0.2">
      <c r="A21">
        <v>12240</v>
      </c>
      <c r="B21">
        <v>8640</v>
      </c>
      <c r="C21">
        <v>1.8794934640522873</v>
      </c>
      <c r="D21">
        <v>0</v>
      </c>
      <c r="E21">
        <f t="shared" si="0"/>
        <v>1380394736842105.5</v>
      </c>
      <c r="F21">
        <v>326828823524.15466</v>
      </c>
      <c r="G21">
        <v>21.83</v>
      </c>
    </row>
    <row r="22" spans="1:7" x14ac:dyDescent="0.2">
      <c r="A22">
        <v>12960</v>
      </c>
      <c r="B22">
        <v>8640</v>
      </c>
      <c r="C22">
        <v>1.6323302469135808</v>
      </c>
      <c r="D22">
        <v>0</v>
      </c>
      <c r="E22">
        <f t="shared" si="0"/>
        <v>1380394736842105.5</v>
      </c>
      <c r="F22">
        <v>315366580424.01538</v>
      </c>
      <c r="G22">
        <v>21.83</v>
      </c>
    </row>
    <row r="23" spans="1:7" x14ac:dyDescent="0.2">
      <c r="A23">
        <v>13680</v>
      </c>
      <c r="B23">
        <v>8640</v>
      </c>
      <c r="C23">
        <v>1.4623538011695902</v>
      </c>
      <c r="D23">
        <v>0</v>
      </c>
      <c r="E23">
        <f t="shared" si="0"/>
        <v>1380394736842105.5</v>
      </c>
      <c r="F23">
        <v>303920503870.51178</v>
      </c>
      <c r="G23">
        <v>21.83</v>
      </c>
    </row>
    <row r="24" spans="1:7" x14ac:dyDescent="0.2">
      <c r="A24">
        <v>14400</v>
      </c>
      <c r="B24">
        <v>8640</v>
      </c>
      <c r="C24">
        <v>1.6041666666666665</v>
      </c>
      <c r="D24">
        <v>0</v>
      </c>
      <c r="E24">
        <f t="shared" si="0"/>
        <v>1380394736842105.5</v>
      </c>
      <c r="F24" s="3">
        <v>79927484385.86351</v>
      </c>
      <c r="G24">
        <v>21.83</v>
      </c>
    </row>
    <row r="25" spans="1:7" x14ac:dyDescent="0.2">
      <c r="A25">
        <v>15120</v>
      </c>
      <c r="B25">
        <v>8640</v>
      </c>
      <c r="C25">
        <v>1.3690476190476191</v>
      </c>
      <c r="D25">
        <v>0</v>
      </c>
      <c r="E25">
        <f t="shared" si="0"/>
        <v>1380394736842105.5</v>
      </c>
      <c r="F25" s="3">
        <v>29989296851.035492</v>
      </c>
      <c r="G25">
        <v>21.83</v>
      </c>
    </row>
    <row r="26" spans="1:7" x14ac:dyDescent="0.2">
      <c r="A26">
        <v>15840</v>
      </c>
      <c r="B26">
        <v>8640</v>
      </c>
      <c r="C26">
        <v>1.0921717171717171</v>
      </c>
      <c r="D26">
        <v>0</v>
      </c>
      <c r="E26">
        <f t="shared" si="0"/>
        <v>1380394736842105.5</v>
      </c>
      <c r="F26" s="3">
        <v>11949910645.611906</v>
      </c>
      <c r="G26">
        <v>21.83</v>
      </c>
    </row>
    <row r="27" spans="1:7" x14ac:dyDescent="0.2">
      <c r="A27">
        <v>16560</v>
      </c>
      <c r="B27">
        <v>8640</v>
      </c>
      <c r="C27">
        <v>1.0809178743961354</v>
      </c>
      <c r="D27">
        <v>0</v>
      </c>
      <c r="E27">
        <f t="shared" si="0"/>
        <v>1380394736842105.5</v>
      </c>
      <c r="F27" s="3">
        <v>-63087320604.571716</v>
      </c>
      <c r="G27">
        <v>21.83</v>
      </c>
    </row>
    <row r="28" spans="1:7" x14ac:dyDescent="0.2">
      <c r="A28">
        <v>16992</v>
      </c>
      <c r="B28">
        <v>8640</v>
      </c>
      <c r="C28">
        <v>0.61793785310734461</v>
      </c>
      <c r="D28">
        <v>0</v>
      </c>
      <c r="E28">
        <f t="shared" si="0"/>
        <v>1380394736842105.5</v>
      </c>
      <c r="F28" s="3">
        <v>-74779708143.519089</v>
      </c>
      <c r="G28">
        <v>21.83</v>
      </c>
    </row>
    <row r="29" spans="1:7" x14ac:dyDescent="0.2">
      <c r="A29">
        <v>17856</v>
      </c>
      <c r="B29">
        <v>8880</v>
      </c>
      <c r="C29">
        <v>1.1032706093189963</v>
      </c>
      <c r="D29">
        <v>0</v>
      </c>
      <c r="E29">
        <f t="shared" si="0"/>
        <v>1380394736842105.5</v>
      </c>
      <c r="F29">
        <v>-107691067864.03671</v>
      </c>
      <c r="G29">
        <v>21.83</v>
      </c>
    </row>
    <row r="30" spans="1:7" x14ac:dyDescent="0.2">
      <c r="A30">
        <v>18864</v>
      </c>
      <c r="B30">
        <v>9160</v>
      </c>
      <c r="C30">
        <v>1.2192536047497879</v>
      </c>
      <c r="D30">
        <v>0</v>
      </c>
      <c r="E30">
        <f t="shared" si="0"/>
        <v>1380394736842105.5</v>
      </c>
      <c r="F30">
        <v>-183574352768.8317</v>
      </c>
      <c r="G30">
        <v>21.83</v>
      </c>
    </row>
    <row r="31" spans="1:7" x14ac:dyDescent="0.2">
      <c r="A31">
        <v>19584</v>
      </c>
      <c r="B31">
        <v>9360</v>
      </c>
      <c r="C31">
        <v>0.78635620915032678</v>
      </c>
      <c r="D31">
        <v>0</v>
      </c>
      <c r="E31">
        <f t="shared" si="0"/>
        <v>1380394736842105.5</v>
      </c>
      <c r="F31">
        <v>-290562414018.01709</v>
      </c>
      <c r="G31">
        <v>21.83</v>
      </c>
    </row>
    <row r="32" spans="1:7" x14ac:dyDescent="0.2">
      <c r="A32">
        <v>20448</v>
      </c>
      <c r="B32">
        <v>9360</v>
      </c>
      <c r="C32">
        <v>0.74334898278560246</v>
      </c>
      <c r="D32">
        <v>0</v>
      </c>
      <c r="E32">
        <f t="shared" si="0"/>
        <v>1380394736842105.5</v>
      </c>
      <c r="F32">
        <v>-524092179565.60327</v>
      </c>
      <c r="G32">
        <v>21.83</v>
      </c>
    </row>
    <row r="33" spans="1:7" x14ac:dyDescent="0.2">
      <c r="A33">
        <v>21168</v>
      </c>
      <c r="B33">
        <v>9360</v>
      </c>
      <c r="C33">
        <v>0.43461829176114891</v>
      </c>
      <c r="D33">
        <v>0</v>
      </c>
      <c r="E33">
        <f t="shared" si="0"/>
        <v>1380394736842105.5</v>
      </c>
      <c r="F33">
        <v>-835902727777.91907</v>
      </c>
      <c r="G33">
        <v>21.83</v>
      </c>
    </row>
    <row r="34" spans="1:7" x14ac:dyDescent="0.2">
      <c r="A34">
        <v>22032</v>
      </c>
      <c r="B34">
        <v>9360</v>
      </c>
      <c r="C34">
        <v>0.394880174291939</v>
      </c>
      <c r="D34">
        <v>0</v>
      </c>
      <c r="E34">
        <f t="shared" si="0"/>
        <v>1380394736842105.5</v>
      </c>
      <c r="F34">
        <v>-1483176668883.8875</v>
      </c>
      <c r="G34">
        <v>21.83</v>
      </c>
    </row>
    <row r="35" spans="1:7" x14ac:dyDescent="0.2">
      <c r="A35">
        <v>23472</v>
      </c>
      <c r="B35">
        <v>9360</v>
      </c>
      <c r="C35">
        <v>0.67314246762099528</v>
      </c>
      <c r="D35">
        <v>0</v>
      </c>
      <c r="E35">
        <f t="shared" si="0"/>
        <v>1380394736842105.5</v>
      </c>
      <c r="F35">
        <v>-21899500494137.195</v>
      </c>
      <c r="G35">
        <v>21.83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96300-8A54-504E-989A-5605590AADF7}">
  <dimension ref="A1:G39"/>
  <sheetViews>
    <sheetView topLeftCell="C1" workbookViewId="0">
      <selection activeCell="I29" sqref="I29"/>
    </sheetView>
  </sheetViews>
  <sheetFormatPr baseColWidth="10" defaultRowHeight="16" x14ac:dyDescent="0.2"/>
  <cols>
    <col min="4" max="4" width="33.5" customWidth="1"/>
    <col min="5" max="5" width="45.5" customWidth="1"/>
    <col min="6" max="6" width="29.83203125" customWidth="1"/>
    <col min="7" max="7" width="22.8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8580</v>
      </c>
      <c r="C2">
        <v>0</v>
      </c>
      <c r="D2">
        <f>-9*10^12*803/5.32</f>
        <v>-1358458646616541.2</v>
      </c>
      <c r="E2">
        <f>1.55*10^12*2970/5.32</f>
        <v>865319548872180.38</v>
      </c>
      <c r="F2">
        <v>385397213180.34991</v>
      </c>
      <c r="G2">
        <v>10.6</v>
      </c>
    </row>
    <row r="3" spans="1:7" x14ac:dyDescent="0.2">
      <c r="A3">
        <v>450</v>
      </c>
      <c r="B3">
        <v>8570</v>
      </c>
      <c r="C3">
        <v>0.18444444444444444</v>
      </c>
      <c r="D3">
        <f t="shared" ref="D3:D39" si="0">-9*10^12*803/5.32</f>
        <v>-1358458646616541.2</v>
      </c>
      <c r="E3">
        <f t="shared" ref="E3:E39" si="1">1.55*10^12*2970/5.32</f>
        <v>865319548872180.38</v>
      </c>
      <c r="F3">
        <v>384738572872.21393</v>
      </c>
      <c r="G3">
        <v>10.6</v>
      </c>
    </row>
    <row r="4" spans="1:7" x14ac:dyDescent="0.2">
      <c r="A4">
        <v>900</v>
      </c>
      <c r="B4">
        <v>8560</v>
      </c>
      <c r="C4">
        <v>8.6666666666666697E-2</v>
      </c>
      <c r="D4">
        <f t="shared" si="0"/>
        <v>-1358458646616541.2</v>
      </c>
      <c r="E4">
        <f t="shared" si="1"/>
        <v>865319548872180.38</v>
      </c>
      <c r="F4">
        <v>384120503130.28308</v>
      </c>
      <c r="G4">
        <v>10.6</v>
      </c>
    </row>
    <row r="5" spans="1:7" x14ac:dyDescent="0.2">
      <c r="A5">
        <v>1125</v>
      </c>
      <c r="B5">
        <v>8540</v>
      </c>
      <c r="C5">
        <v>3.9999999999999973E-2</v>
      </c>
      <c r="D5">
        <f t="shared" si="0"/>
        <v>-1358458646616541.2</v>
      </c>
      <c r="E5">
        <f t="shared" si="1"/>
        <v>865319548872180.38</v>
      </c>
      <c r="F5">
        <v>383764317807.7771</v>
      </c>
      <c r="G5">
        <v>10.6</v>
      </c>
    </row>
    <row r="6" spans="1:7" x14ac:dyDescent="0.2">
      <c r="A6">
        <v>1350</v>
      </c>
      <c r="B6">
        <v>8530</v>
      </c>
      <c r="C6">
        <v>3.1851851851851867E-2</v>
      </c>
      <c r="D6">
        <f t="shared" si="0"/>
        <v>-1358458646616541.2</v>
      </c>
      <c r="E6">
        <f t="shared" si="1"/>
        <v>865319548872180.38</v>
      </c>
      <c r="F6">
        <v>383424231647.19666</v>
      </c>
      <c r="G6">
        <v>10.6</v>
      </c>
    </row>
    <row r="7" spans="1:7" x14ac:dyDescent="0.2">
      <c r="A7">
        <v>2520</v>
      </c>
      <c r="B7">
        <v>8520</v>
      </c>
      <c r="C7">
        <v>2.2619047619047612E-2</v>
      </c>
      <c r="D7">
        <f t="shared" si="0"/>
        <v>-1358458646616541.2</v>
      </c>
      <c r="E7">
        <f t="shared" si="1"/>
        <v>865319548872180.38</v>
      </c>
      <c r="F7">
        <v>382973824220.00037</v>
      </c>
      <c r="G7">
        <v>10.6</v>
      </c>
    </row>
    <row r="8" spans="1:7" x14ac:dyDescent="0.2">
      <c r="A8">
        <v>2880</v>
      </c>
      <c r="B8">
        <v>8500</v>
      </c>
      <c r="C8">
        <v>2.8125000000000004E-2</v>
      </c>
      <c r="D8">
        <f t="shared" si="0"/>
        <v>-1358458646616541.2</v>
      </c>
      <c r="E8">
        <f t="shared" si="1"/>
        <v>865319548872180.38</v>
      </c>
      <c r="F8">
        <v>382334563996.68634</v>
      </c>
      <c r="G8">
        <v>10.6</v>
      </c>
    </row>
    <row r="9" spans="1:7" x14ac:dyDescent="0.2">
      <c r="A9">
        <v>3600</v>
      </c>
      <c r="B9">
        <v>8480</v>
      </c>
      <c r="C9">
        <v>6.4722222222222223E-2</v>
      </c>
      <c r="D9">
        <f t="shared" si="0"/>
        <v>-1358458646616541.2</v>
      </c>
      <c r="E9">
        <f t="shared" si="1"/>
        <v>865319548872180.38</v>
      </c>
      <c r="F9">
        <v>380500881183.31775</v>
      </c>
      <c r="G9">
        <v>10.6</v>
      </c>
    </row>
    <row r="10" spans="1:7" x14ac:dyDescent="0.2">
      <c r="A10">
        <v>4320</v>
      </c>
      <c r="B10">
        <v>8480</v>
      </c>
      <c r="C10">
        <v>8.3796296296296299E-2</v>
      </c>
      <c r="D10">
        <f t="shared" si="0"/>
        <v>-1358458646616541.2</v>
      </c>
      <c r="E10">
        <f t="shared" si="1"/>
        <v>865319548872180.38</v>
      </c>
      <c r="F10">
        <v>377667171692.0047</v>
      </c>
      <c r="G10">
        <v>10.6</v>
      </c>
    </row>
    <row r="11" spans="1:7" x14ac:dyDescent="0.2">
      <c r="A11">
        <v>5040</v>
      </c>
      <c r="B11">
        <v>8470</v>
      </c>
      <c r="C11">
        <v>0.11488095238095238</v>
      </c>
      <c r="D11">
        <f t="shared" si="0"/>
        <v>-1358458646616541.2</v>
      </c>
      <c r="E11">
        <f t="shared" si="1"/>
        <v>865319548872180.38</v>
      </c>
      <c r="F11">
        <v>373172992124.92682</v>
      </c>
      <c r="G11">
        <v>10.6</v>
      </c>
    </row>
    <row r="12" spans="1:7" x14ac:dyDescent="0.2">
      <c r="A12">
        <v>5760</v>
      </c>
      <c r="B12">
        <v>8460</v>
      </c>
      <c r="C12">
        <v>0.15625</v>
      </c>
      <c r="D12">
        <f t="shared" si="0"/>
        <v>-1358458646616541.2</v>
      </c>
      <c r="E12">
        <f t="shared" si="1"/>
        <v>865319548872180.38</v>
      </c>
      <c r="F12">
        <v>366279649992.276</v>
      </c>
      <c r="G12">
        <v>10.6</v>
      </c>
    </row>
    <row r="13" spans="1:7" x14ac:dyDescent="0.2">
      <c r="A13">
        <v>6480</v>
      </c>
      <c r="B13">
        <v>8460</v>
      </c>
      <c r="C13">
        <v>0.32067901234567897</v>
      </c>
      <c r="D13">
        <f t="shared" si="0"/>
        <v>-1358458646616541.2</v>
      </c>
      <c r="E13">
        <f t="shared" si="1"/>
        <v>865319548872180.38</v>
      </c>
      <c r="F13">
        <v>350785646294.31036</v>
      </c>
      <c r="G13">
        <v>10.6</v>
      </c>
    </row>
    <row r="14" spans="1:7" x14ac:dyDescent="0.2">
      <c r="A14">
        <v>7200</v>
      </c>
      <c r="B14">
        <v>8460</v>
      </c>
      <c r="C14">
        <v>0.2120833333333334</v>
      </c>
      <c r="D14">
        <f t="shared" si="0"/>
        <v>-1358458646616541.2</v>
      </c>
      <c r="E14">
        <f t="shared" si="1"/>
        <v>865319548872180.38</v>
      </c>
      <c r="F14">
        <v>339766782185.91919</v>
      </c>
      <c r="G14">
        <v>10.6</v>
      </c>
    </row>
    <row r="15" spans="1:7" x14ac:dyDescent="0.2">
      <c r="A15">
        <v>5918.4000000000005</v>
      </c>
      <c r="B15">
        <v>8480</v>
      </c>
      <c r="C15">
        <v>-0.60911732900783988</v>
      </c>
      <c r="D15">
        <f t="shared" si="0"/>
        <v>-1358458646616541.2</v>
      </c>
      <c r="E15">
        <f t="shared" si="1"/>
        <v>865319548872180.38</v>
      </c>
      <c r="F15">
        <v>366279649992.276</v>
      </c>
      <c r="G15">
        <v>10.6</v>
      </c>
    </row>
    <row r="16" spans="1:7" x14ac:dyDescent="0.2">
      <c r="A16">
        <v>6638.4000000000005</v>
      </c>
      <c r="B16">
        <v>8480</v>
      </c>
      <c r="C16">
        <v>5.8899734875873702E-2</v>
      </c>
      <c r="D16">
        <f t="shared" si="0"/>
        <v>-1358458646616541.2</v>
      </c>
      <c r="E16">
        <f t="shared" si="1"/>
        <v>865319548872180.38</v>
      </c>
      <c r="F16">
        <v>363319592938.61633</v>
      </c>
      <c r="G16">
        <v>10.6</v>
      </c>
    </row>
    <row r="17" spans="1:7" x14ac:dyDescent="0.2">
      <c r="A17">
        <v>7358.4000000000005</v>
      </c>
      <c r="B17">
        <v>8480</v>
      </c>
      <c r="C17">
        <v>9.9070450097847332E-2</v>
      </c>
      <c r="D17">
        <f t="shared" si="0"/>
        <v>-1358458646616541.2</v>
      </c>
      <c r="E17">
        <f t="shared" si="1"/>
        <v>865319548872180.38</v>
      </c>
      <c r="F17">
        <v>357856290225.92548</v>
      </c>
      <c r="G17">
        <v>10.6</v>
      </c>
    </row>
    <row r="18" spans="1:7" x14ac:dyDescent="0.2">
      <c r="A18">
        <v>8078.4000000000005</v>
      </c>
      <c r="B18">
        <v>8480</v>
      </c>
      <c r="C18">
        <v>0.22034066151713216</v>
      </c>
      <c r="D18">
        <f t="shared" si="0"/>
        <v>-1358458646616541.2</v>
      </c>
      <c r="E18">
        <f t="shared" si="1"/>
        <v>865319548872180.38</v>
      </c>
      <c r="F18">
        <v>344816041192.44843</v>
      </c>
      <c r="G18">
        <v>10.6</v>
      </c>
    </row>
    <row r="19" spans="1:7" x14ac:dyDescent="0.2">
      <c r="A19">
        <v>8640</v>
      </c>
      <c r="B19">
        <v>8480</v>
      </c>
      <c r="C19">
        <v>0.18865740740740738</v>
      </c>
      <c r="D19">
        <f t="shared" si="0"/>
        <v>-1358458646616541.2</v>
      </c>
      <c r="E19">
        <f t="shared" si="1"/>
        <v>865319548872180.38</v>
      </c>
      <c r="F19">
        <v>333239581679.22119</v>
      </c>
      <c r="G19">
        <v>10.6</v>
      </c>
    </row>
    <row r="20" spans="1:7" x14ac:dyDescent="0.2">
      <c r="A20">
        <v>9360</v>
      </c>
      <c r="B20">
        <v>8480</v>
      </c>
      <c r="C20">
        <v>0.30555555555555547</v>
      </c>
      <c r="D20">
        <f t="shared" si="0"/>
        <v>-1358458646616541.2</v>
      </c>
      <c r="E20">
        <f t="shared" si="1"/>
        <v>865319548872180.38</v>
      </c>
      <c r="F20">
        <v>313743621071.46667</v>
      </c>
      <c r="G20">
        <v>10.6</v>
      </c>
    </row>
    <row r="21" spans="1:7" x14ac:dyDescent="0.2">
      <c r="A21">
        <v>10512</v>
      </c>
      <c r="B21">
        <v>8480</v>
      </c>
      <c r="C21">
        <v>0.73630136986301375</v>
      </c>
      <c r="D21">
        <f t="shared" si="0"/>
        <v>-1358458646616541.2</v>
      </c>
      <c r="E21">
        <f t="shared" si="1"/>
        <v>865319548872180.38</v>
      </c>
      <c r="F21">
        <v>265875406673.56866</v>
      </c>
      <c r="G21">
        <v>10.6</v>
      </c>
    </row>
    <row r="22" spans="1:7" x14ac:dyDescent="0.2">
      <c r="A22">
        <v>11088</v>
      </c>
      <c r="B22">
        <v>8600</v>
      </c>
      <c r="C22">
        <v>0.48250360750360749</v>
      </c>
      <c r="D22">
        <f t="shared" si="0"/>
        <v>-1358458646616541.2</v>
      </c>
      <c r="E22">
        <f t="shared" si="1"/>
        <v>865319548872180.38</v>
      </c>
      <c r="F22">
        <v>236628214935.65024</v>
      </c>
      <c r="G22">
        <v>10.6</v>
      </c>
    </row>
    <row r="23" spans="1:7" x14ac:dyDescent="0.2">
      <c r="A23">
        <v>11376</v>
      </c>
      <c r="B23">
        <v>8600</v>
      </c>
      <c r="C23">
        <v>0.49226441631504925</v>
      </c>
      <c r="D23">
        <f t="shared" si="0"/>
        <v>-1358458646616541.2</v>
      </c>
      <c r="E23">
        <f t="shared" si="1"/>
        <v>865319548872180.38</v>
      </c>
      <c r="F23">
        <v>209054536243.50598</v>
      </c>
      <c r="G23">
        <v>10.6</v>
      </c>
    </row>
    <row r="24" spans="1:7" x14ac:dyDescent="0.2">
      <c r="A24">
        <v>12096</v>
      </c>
      <c r="B24">
        <v>8580</v>
      </c>
      <c r="C24">
        <v>1.066468253968254</v>
      </c>
      <c r="D24">
        <f t="shared" si="0"/>
        <v>-1358458646616541.2</v>
      </c>
      <c r="E24">
        <f t="shared" si="1"/>
        <v>865319548872180.38</v>
      </c>
      <c r="F24">
        <v>155929510974.9126</v>
      </c>
      <c r="G24">
        <v>10.6</v>
      </c>
    </row>
    <row r="25" spans="1:7" x14ac:dyDescent="0.2">
      <c r="A25">
        <v>12960</v>
      </c>
      <c r="B25">
        <v>8580</v>
      </c>
      <c r="C25">
        <v>1.2654320987654322</v>
      </c>
      <c r="D25">
        <f t="shared" si="0"/>
        <v>-1358458646616541.2</v>
      </c>
      <c r="E25">
        <f t="shared" si="1"/>
        <v>865319548872180.38</v>
      </c>
      <c r="F25">
        <v>154918738400.80389</v>
      </c>
      <c r="G25">
        <v>10.6</v>
      </c>
    </row>
    <row r="26" spans="1:7" x14ac:dyDescent="0.2">
      <c r="A26">
        <v>13680</v>
      </c>
      <c r="B26">
        <v>8580</v>
      </c>
      <c r="C26">
        <v>1.2134502923976609</v>
      </c>
      <c r="D26">
        <f t="shared" si="0"/>
        <v>-1358458646616541.2</v>
      </c>
      <c r="E26">
        <f t="shared" si="1"/>
        <v>865319548872180.38</v>
      </c>
      <c r="F26">
        <v>137645917439.14148</v>
      </c>
      <c r="G26">
        <v>10.6</v>
      </c>
    </row>
    <row r="27" spans="1:7" x14ac:dyDescent="0.2">
      <c r="A27">
        <v>14400</v>
      </c>
      <c r="B27">
        <v>8580</v>
      </c>
      <c r="C27">
        <v>1.2430555555555556</v>
      </c>
      <c r="D27">
        <f t="shared" si="0"/>
        <v>-1358458646616541.2</v>
      </c>
      <c r="E27">
        <f t="shared" si="1"/>
        <v>865319548872180.38</v>
      </c>
      <c r="F27">
        <v>120260909578.21036</v>
      </c>
      <c r="G27">
        <v>10.6</v>
      </c>
    </row>
    <row r="28" spans="1:7" x14ac:dyDescent="0.2">
      <c r="A28">
        <v>15998.4</v>
      </c>
      <c r="B28">
        <v>8580</v>
      </c>
      <c r="C28">
        <v>2.619011901190119</v>
      </c>
      <c r="D28">
        <f t="shared" si="0"/>
        <v>-1358458646616541.2</v>
      </c>
      <c r="E28">
        <f t="shared" si="1"/>
        <v>865319548872180.38</v>
      </c>
      <c r="F28">
        <v>-21489854401.668385</v>
      </c>
      <c r="G28">
        <v>10.6</v>
      </c>
    </row>
    <row r="29" spans="1:7" x14ac:dyDescent="0.2">
      <c r="A29">
        <v>17424</v>
      </c>
      <c r="B29">
        <v>8580</v>
      </c>
      <c r="C29">
        <v>2.0775941230486685</v>
      </c>
      <c r="D29">
        <f t="shared" si="0"/>
        <v>-1358458646616541.2</v>
      </c>
      <c r="E29">
        <f t="shared" si="1"/>
        <v>865319548872180.38</v>
      </c>
      <c r="F29">
        <v>-164520658743.0759</v>
      </c>
      <c r="G29">
        <v>10.6</v>
      </c>
    </row>
    <row r="30" spans="1:7" x14ac:dyDescent="0.2">
      <c r="A30">
        <v>18864</v>
      </c>
      <c r="B30">
        <v>8580</v>
      </c>
      <c r="C30">
        <v>1.828880407124682</v>
      </c>
      <c r="D30">
        <f t="shared" si="0"/>
        <v>-1358458646616541.2</v>
      </c>
      <c r="E30">
        <f t="shared" si="1"/>
        <v>865319548872180.38</v>
      </c>
      <c r="F30">
        <v>-1652719024070.4993</v>
      </c>
      <c r="G30">
        <v>10.6</v>
      </c>
    </row>
    <row r="31" spans="1:7" x14ac:dyDescent="0.2">
      <c r="A31">
        <v>20160</v>
      </c>
      <c r="B31">
        <v>8580</v>
      </c>
      <c r="C31">
        <v>1.5277777777777777</v>
      </c>
      <c r="D31">
        <f t="shared" si="0"/>
        <v>-1358458646616541.2</v>
      </c>
      <c r="E31">
        <f t="shared" si="1"/>
        <v>865319548872180.38</v>
      </c>
      <c r="F31">
        <v>-5455756780650.709</v>
      </c>
      <c r="G31">
        <v>10.6</v>
      </c>
    </row>
    <row r="32" spans="1:7" x14ac:dyDescent="0.2">
      <c r="A32">
        <v>21456</v>
      </c>
      <c r="B32">
        <v>8580</v>
      </c>
      <c r="C32">
        <v>1.4541387024608501</v>
      </c>
      <c r="D32">
        <f t="shared" si="0"/>
        <v>-1358458646616541.2</v>
      </c>
      <c r="E32">
        <f t="shared" si="1"/>
        <v>865319548872180.38</v>
      </c>
      <c r="F32">
        <v>-6351500094561.6533</v>
      </c>
      <c r="G32">
        <v>10.6</v>
      </c>
    </row>
    <row r="33" spans="1:7" x14ac:dyDescent="0.2">
      <c r="A33">
        <v>21600</v>
      </c>
      <c r="B33">
        <v>8620</v>
      </c>
      <c r="C33">
        <v>0.14351851851851852</v>
      </c>
      <c r="D33">
        <f t="shared" si="0"/>
        <v>-1358458646616541.2</v>
      </c>
      <c r="E33">
        <f t="shared" si="1"/>
        <v>865319548872180.38</v>
      </c>
      <c r="F33">
        <v>-6463251203636.6416</v>
      </c>
      <c r="G33">
        <v>10.6</v>
      </c>
    </row>
    <row r="34" spans="1:7" x14ac:dyDescent="0.2">
      <c r="A34">
        <v>22320</v>
      </c>
      <c r="B34">
        <v>8820</v>
      </c>
      <c r="C34">
        <v>0.85125448028673845</v>
      </c>
      <c r="D34">
        <f t="shared" si="0"/>
        <v>-1358458646616541.2</v>
      </c>
      <c r="E34">
        <f t="shared" si="1"/>
        <v>865319548872180.38</v>
      </c>
      <c r="F34">
        <v>-7284684957586.0361</v>
      </c>
      <c r="G34">
        <v>10.6</v>
      </c>
    </row>
    <row r="35" spans="1:7" x14ac:dyDescent="0.2">
      <c r="A35">
        <v>23040</v>
      </c>
      <c r="B35">
        <v>9020</v>
      </c>
      <c r="C35">
        <v>0.91145833333333337</v>
      </c>
      <c r="D35">
        <f t="shared" si="0"/>
        <v>-1358458646616541.2</v>
      </c>
      <c r="E35">
        <f t="shared" si="1"/>
        <v>865319548872180.38</v>
      </c>
      <c r="F35">
        <v>-8615174375466.584</v>
      </c>
      <c r="G35">
        <v>10.6</v>
      </c>
    </row>
    <row r="36" spans="1:7" x14ac:dyDescent="0.2">
      <c r="A36">
        <v>24019.200000000001</v>
      </c>
      <c r="B36">
        <v>9292</v>
      </c>
      <c r="C36">
        <v>1.5362709832134291</v>
      </c>
      <c r="D36">
        <f t="shared" si="0"/>
        <v>-1358458646616541.2</v>
      </c>
      <c r="E36">
        <f t="shared" si="1"/>
        <v>865319548872180.38</v>
      </c>
      <c r="F36">
        <v>-14231910382615.109</v>
      </c>
      <c r="G36">
        <v>10.6</v>
      </c>
    </row>
    <row r="37" spans="1:7" x14ac:dyDescent="0.2">
      <c r="A37">
        <v>24235.200000000001</v>
      </c>
      <c r="B37">
        <v>9352</v>
      </c>
      <c r="C37">
        <v>0.74272133095662507</v>
      </c>
      <c r="D37">
        <f t="shared" si="0"/>
        <v>-1358458646616541.2</v>
      </c>
      <c r="E37">
        <f t="shared" si="1"/>
        <v>865319548872180.38</v>
      </c>
      <c r="F37">
        <v>-26197060453539.051</v>
      </c>
      <c r="G37">
        <v>10.6</v>
      </c>
    </row>
    <row r="38" spans="1:7" x14ac:dyDescent="0.2">
      <c r="A38">
        <v>24681.600000000002</v>
      </c>
      <c r="B38">
        <v>9352</v>
      </c>
      <c r="C38">
        <v>0.20258005963956954</v>
      </c>
      <c r="D38">
        <f t="shared" si="0"/>
        <v>-1358458646616541.2</v>
      </c>
      <c r="E38">
        <f t="shared" si="1"/>
        <v>865319548872180.38</v>
      </c>
      <c r="F38">
        <v>-39247378997480.141</v>
      </c>
      <c r="G38">
        <v>10.6</v>
      </c>
    </row>
    <row r="39" spans="1:7" x14ac:dyDescent="0.2">
      <c r="A39">
        <v>25056</v>
      </c>
      <c r="B39">
        <v>9352</v>
      </c>
      <c r="C39">
        <v>0.20753512132822477</v>
      </c>
      <c r="D39">
        <f t="shared" si="0"/>
        <v>-1358458646616541.2</v>
      </c>
      <c r="E39">
        <f t="shared" si="1"/>
        <v>865319548872180.38</v>
      </c>
      <c r="F39">
        <v>-52519753413868.312</v>
      </c>
      <c r="G39">
        <v>10.6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5AEEC-035B-8441-8BCB-719E8E7D4E66}">
  <dimension ref="A1:G27"/>
  <sheetViews>
    <sheetView topLeftCell="D1" workbookViewId="0">
      <selection activeCell="F32" sqref="F32"/>
    </sheetView>
  </sheetViews>
  <sheetFormatPr baseColWidth="10" defaultRowHeight="16" x14ac:dyDescent="0.2"/>
  <cols>
    <col min="3" max="3" width="24" customWidth="1"/>
    <col min="4" max="4" width="31" customWidth="1"/>
    <col min="5" max="5" width="36.83203125" customWidth="1"/>
    <col min="6" max="6" width="24.1640625" customWidth="1"/>
    <col min="7" max="7" width="22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8760</v>
      </c>
      <c r="C2">
        <v>0</v>
      </c>
      <c r="D2">
        <f>1882*4*10^11/5.32</f>
        <v>141503759398496.22</v>
      </c>
      <c r="E2">
        <f>-2*10^11*2120/5.32</f>
        <v>-79699248120300.75</v>
      </c>
      <c r="F2" s="4">
        <v>462357000000</v>
      </c>
      <c r="G2">
        <v>1.25</v>
      </c>
    </row>
    <row r="3" spans="1:7" x14ac:dyDescent="0.2">
      <c r="A3">
        <v>450</v>
      </c>
      <c r="B3">
        <v>8760</v>
      </c>
      <c r="C3">
        <v>5.1111111111111114E-2</v>
      </c>
      <c r="D3">
        <f t="shared" ref="D3:D27" si="0">1882*4*10^11/5.32</f>
        <v>141503759398496.22</v>
      </c>
      <c r="E3">
        <f t="shared" ref="E3:E27" si="1">-2*10^11*2120/5.32</f>
        <v>-79699248120300.75</v>
      </c>
      <c r="F3" s="4">
        <v>462375000000</v>
      </c>
      <c r="G3">
        <v>1.25</v>
      </c>
    </row>
    <row r="4" spans="1:7" x14ac:dyDescent="0.2">
      <c r="A4">
        <v>900</v>
      </c>
      <c r="B4">
        <v>8760</v>
      </c>
      <c r="C4">
        <v>1.3333333333333334E-2</v>
      </c>
      <c r="D4">
        <f t="shared" si="0"/>
        <v>141503759398496.22</v>
      </c>
      <c r="E4">
        <f t="shared" si="1"/>
        <v>-79699248120300.75</v>
      </c>
      <c r="F4" s="4">
        <v>462385000000</v>
      </c>
      <c r="G4">
        <v>1.25</v>
      </c>
    </row>
    <row r="5" spans="1:7" x14ac:dyDescent="0.2">
      <c r="A5">
        <v>2160</v>
      </c>
      <c r="B5">
        <v>8740</v>
      </c>
      <c r="C5">
        <v>1.2037037037037037E-2</v>
      </c>
      <c r="D5">
        <f t="shared" si="0"/>
        <v>141503759398496.22</v>
      </c>
      <c r="E5">
        <f t="shared" si="1"/>
        <v>-79699248120300.75</v>
      </c>
      <c r="F5" s="4">
        <v>462393000000</v>
      </c>
      <c r="G5">
        <v>1.25</v>
      </c>
    </row>
    <row r="6" spans="1:7" x14ac:dyDescent="0.2">
      <c r="A6">
        <v>2880</v>
      </c>
      <c r="B6">
        <v>8720</v>
      </c>
      <c r="C6">
        <v>1.5972222222222224E-2</v>
      </c>
      <c r="D6">
        <f t="shared" si="0"/>
        <v>141503759398496.22</v>
      </c>
      <c r="E6">
        <f t="shared" si="1"/>
        <v>-79699248120300.75</v>
      </c>
      <c r="F6" s="4">
        <v>462356000000</v>
      </c>
      <c r="G6">
        <v>1.25</v>
      </c>
    </row>
    <row r="7" spans="1:7" x14ac:dyDescent="0.2">
      <c r="A7">
        <v>3600</v>
      </c>
      <c r="B7">
        <v>8700</v>
      </c>
      <c r="C7">
        <v>1.805555555555555E-2</v>
      </c>
      <c r="D7">
        <f t="shared" si="0"/>
        <v>141503759398496.22</v>
      </c>
      <c r="E7">
        <f t="shared" si="1"/>
        <v>-79699248120300.75</v>
      </c>
      <c r="F7" s="4">
        <v>462302000000</v>
      </c>
      <c r="G7">
        <v>1.25</v>
      </c>
    </row>
    <row r="8" spans="1:7" x14ac:dyDescent="0.2">
      <c r="A8">
        <v>4320</v>
      </c>
      <c r="B8">
        <v>8680</v>
      </c>
      <c r="C8">
        <v>5.4166666666666662E-2</v>
      </c>
      <c r="D8">
        <f t="shared" si="0"/>
        <v>141503759398496.22</v>
      </c>
      <c r="E8">
        <f t="shared" si="1"/>
        <v>-79699248120300.75</v>
      </c>
      <c r="F8" s="4">
        <v>462111000000</v>
      </c>
      <c r="G8">
        <v>1.25</v>
      </c>
    </row>
    <row r="9" spans="1:7" x14ac:dyDescent="0.2">
      <c r="A9">
        <v>5040</v>
      </c>
      <c r="B9">
        <v>8660</v>
      </c>
      <c r="C9">
        <v>0.12857142857142859</v>
      </c>
      <c r="D9">
        <f t="shared" si="0"/>
        <v>141503759398496.22</v>
      </c>
      <c r="E9">
        <f t="shared" si="1"/>
        <v>-79699248120300.75</v>
      </c>
      <c r="F9" s="4">
        <v>461579000000</v>
      </c>
      <c r="G9">
        <v>1.25</v>
      </c>
    </row>
    <row r="10" spans="1:7" x14ac:dyDescent="0.2">
      <c r="A10">
        <v>5760</v>
      </c>
      <c r="B10">
        <v>8640</v>
      </c>
      <c r="C10">
        <v>0.21267361111111113</v>
      </c>
      <c r="D10">
        <f t="shared" si="0"/>
        <v>141503759398496.22</v>
      </c>
      <c r="E10">
        <f t="shared" si="1"/>
        <v>-79699248120300.75</v>
      </c>
      <c r="F10" s="4">
        <v>460573000000</v>
      </c>
      <c r="G10">
        <v>1.25</v>
      </c>
    </row>
    <row r="11" spans="1:7" x14ac:dyDescent="0.2">
      <c r="A11">
        <v>6480</v>
      </c>
      <c r="B11">
        <v>8620</v>
      </c>
      <c r="C11">
        <v>0.32283950617283946</v>
      </c>
      <c r="D11">
        <f t="shared" si="0"/>
        <v>141503759398496.22</v>
      </c>
      <c r="E11">
        <f t="shared" si="1"/>
        <v>-79699248120300.75</v>
      </c>
      <c r="F11" s="4">
        <v>458854000000</v>
      </c>
      <c r="G11">
        <v>1.25</v>
      </c>
    </row>
    <row r="12" spans="1:7" x14ac:dyDescent="0.2">
      <c r="A12">
        <v>7200</v>
      </c>
      <c r="B12">
        <v>8600</v>
      </c>
      <c r="C12">
        <v>0.48916666666666675</v>
      </c>
      <c r="D12">
        <f t="shared" si="0"/>
        <v>141503759398496.22</v>
      </c>
      <c r="E12">
        <f t="shared" si="1"/>
        <v>-79699248120300.75</v>
      </c>
      <c r="F12" s="4">
        <v>455953000000</v>
      </c>
      <c r="G12">
        <v>1.25</v>
      </c>
    </row>
    <row r="13" spans="1:7" x14ac:dyDescent="0.2">
      <c r="A13">
        <v>7920</v>
      </c>
      <c r="B13">
        <v>8580</v>
      </c>
      <c r="C13">
        <v>0.73989898989898983</v>
      </c>
      <c r="D13">
        <f t="shared" si="0"/>
        <v>141503759398496.22</v>
      </c>
      <c r="E13">
        <f t="shared" si="1"/>
        <v>-79699248120300.75</v>
      </c>
      <c r="F13" s="4">
        <v>451109000000</v>
      </c>
      <c r="G13">
        <v>1.25</v>
      </c>
    </row>
    <row r="14" spans="1:7" x14ac:dyDescent="0.2">
      <c r="A14">
        <v>8640</v>
      </c>
      <c r="B14">
        <v>8580</v>
      </c>
      <c r="C14">
        <v>1.087962962962963</v>
      </c>
      <c r="D14">
        <f t="shared" si="0"/>
        <v>141503759398496.22</v>
      </c>
      <c r="E14">
        <f t="shared" si="1"/>
        <v>-79699248120300.75</v>
      </c>
      <c r="F14" s="4">
        <v>443291000000</v>
      </c>
      <c r="G14">
        <v>1.25</v>
      </c>
    </row>
    <row r="15" spans="1:7" x14ac:dyDescent="0.2">
      <c r="A15">
        <v>8928</v>
      </c>
      <c r="B15">
        <v>8700</v>
      </c>
      <c r="C15">
        <v>0.43682795698924726</v>
      </c>
      <c r="D15">
        <f t="shared" si="0"/>
        <v>141503759398496.22</v>
      </c>
      <c r="E15">
        <f t="shared" si="1"/>
        <v>-79699248120300.75</v>
      </c>
      <c r="F15" s="4">
        <v>440030000000</v>
      </c>
      <c r="G15">
        <v>1.25</v>
      </c>
    </row>
    <row r="16" spans="1:7" x14ac:dyDescent="0.2">
      <c r="A16">
        <v>9648</v>
      </c>
      <c r="B16">
        <v>8700</v>
      </c>
      <c r="C16">
        <v>1.6791044776119404</v>
      </c>
      <c r="D16">
        <f t="shared" si="0"/>
        <v>141503759398496.22</v>
      </c>
      <c r="E16">
        <f t="shared" si="1"/>
        <v>-79699248120300.75</v>
      </c>
      <c r="F16" s="4">
        <v>426371000000</v>
      </c>
      <c r="G16">
        <v>1.25</v>
      </c>
    </row>
    <row r="17" spans="1:7" x14ac:dyDescent="0.2">
      <c r="A17">
        <v>9936</v>
      </c>
      <c r="B17">
        <v>8730</v>
      </c>
      <c r="C17">
        <v>0.6843800322061192</v>
      </c>
      <c r="D17">
        <f t="shared" si="0"/>
        <v>141503759398496.22</v>
      </c>
      <c r="E17">
        <f t="shared" si="1"/>
        <v>-79699248120300.75</v>
      </c>
      <c r="F17" s="4">
        <v>405108000000</v>
      </c>
      <c r="G17">
        <v>1.25</v>
      </c>
    </row>
    <row r="18" spans="1:7" x14ac:dyDescent="0.2">
      <c r="A18">
        <v>10800</v>
      </c>
      <c r="B18">
        <v>8730</v>
      </c>
      <c r="C18">
        <v>2.0648148148148149</v>
      </c>
      <c r="D18">
        <f t="shared" si="0"/>
        <v>141503759398496.22</v>
      </c>
      <c r="E18">
        <f t="shared" si="1"/>
        <v>-79699248120300.75</v>
      </c>
      <c r="F18" s="4">
        <v>353692000000</v>
      </c>
      <c r="G18">
        <v>1.25</v>
      </c>
    </row>
    <row r="19" spans="1:7" x14ac:dyDescent="0.2">
      <c r="A19">
        <v>14400</v>
      </c>
      <c r="B19">
        <v>8730</v>
      </c>
      <c r="C19">
        <v>6.7013888888888884</v>
      </c>
      <c r="D19">
        <f t="shared" si="0"/>
        <v>141503759398496.22</v>
      </c>
      <c r="E19">
        <f t="shared" si="1"/>
        <v>-79699248120300.75</v>
      </c>
      <c r="F19" s="4">
        <v>-252555000000</v>
      </c>
      <c r="G19">
        <v>1.25</v>
      </c>
    </row>
    <row r="20" spans="1:7" x14ac:dyDescent="0.2">
      <c r="A20">
        <v>15840</v>
      </c>
      <c r="B20">
        <v>8730</v>
      </c>
      <c r="C20">
        <v>1.9696969696969695</v>
      </c>
      <c r="D20">
        <f t="shared" si="0"/>
        <v>141503759398496.22</v>
      </c>
      <c r="E20">
        <f t="shared" si="1"/>
        <v>-79699248120300.75</v>
      </c>
      <c r="F20" s="4">
        <v>-378310000000</v>
      </c>
      <c r="G20">
        <v>1.25</v>
      </c>
    </row>
    <row r="21" spans="1:7" x14ac:dyDescent="0.2">
      <c r="A21">
        <v>16804.8</v>
      </c>
      <c r="B21">
        <v>8730</v>
      </c>
      <c r="C21">
        <v>1.0235170903551367</v>
      </c>
      <c r="D21">
        <f t="shared" si="0"/>
        <v>141503759398496.22</v>
      </c>
      <c r="E21">
        <f t="shared" si="1"/>
        <v>-79699248120300.75</v>
      </c>
      <c r="F21" s="4">
        <v>-486458000000</v>
      </c>
      <c r="G21">
        <v>1.25</v>
      </c>
    </row>
    <row r="22" spans="1:7" x14ac:dyDescent="0.2">
      <c r="A22">
        <v>17913.600000000002</v>
      </c>
      <c r="B22">
        <v>8730</v>
      </c>
      <c r="C22">
        <v>1.0494819578420864</v>
      </c>
      <c r="D22">
        <f t="shared" si="0"/>
        <v>141503759398496.22</v>
      </c>
      <c r="E22">
        <f t="shared" si="1"/>
        <v>-79699248120300.75</v>
      </c>
      <c r="F22" s="5">
        <v>-489000000000</v>
      </c>
      <c r="G22">
        <v>1.25</v>
      </c>
    </row>
    <row r="23" spans="1:7" x14ac:dyDescent="0.2">
      <c r="A23">
        <v>19756.8</v>
      </c>
      <c r="B23">
        <v>8730</v>
      </c>
      <c r="C23">
        <v>1.4476028506640752</v>
      </c>
      <c r="D23">
        <f t="shared" si="0"/>
        <v>141503759398496.22</v>
      </c>
      <c r="E23">
        <f t="shared" si="1"/>
        <v>-79699248120300.75</v>
      </c>
      <c r="F23" s="5">
        <v>-583000000000</v>
      </c>
      <c r="G23">
        <v>1.25</v>
      </c>
    </row>
    <row r="24" spans="1:7" x14ac:dyDescent="0.2">
      <c r="A24">
        <v>20160</v>
      </c>
      <c r="B24">
        <v>8730</v>
      </c>
      <c r="C24">
        <v>0.30257936507936511</v>
      </c>
      <c r="D24">
        <f t="shared" si="0"/>
        <v>141503759398496.22</v>
      </c>
      <c r="E24">
        <f t="shared" si="1"/>
        <v>-79699248120300.75</v>
      </c>
      <c r="F24" s="5">
        <v>-608000000000</v>
      </c>
      <c r="G24">
        <v>1.25</v>
      </c>
    </row>
    <row r="25" spans="1:7" x14ac:dyDescent="0.2">
      <c r="A25">
        <v>20880</v>
      </c>
      <c r="B25">
        <v>8730</v>
      </c>
      <c r="C25">
        <v>0.54118773946360155</v>
      </c>
      <c r="D25">
        <f t="shared" si="0"/>
        <v>141503759398496.22</v>
      </c>
      <c r="E25">
        <f t="shared" si="1"/>
        <v>-79699248120300.75</v>
      </c>
      <c r="F25" s="5">
        <v>-661000000000</v>
      </c>
      <c r="G25">
        <v>1.25</v>
      </c>
    </row>
    <row r="26" spans="1:7" x14ac:dyDescent="0.2">
      <c r="A26">
        <v>21355.200000000001</v>
      </c>
      <c r="B26">
        <v>8730</v>
      </c>
      <c r="C26">
        <v>0.3746160185809545</v>
      </c>
      <c r="D26">
        <f t="shared" si="0"/>
        <v>141503759398496.22</v>
      </c>
      <c r="E26">
        <f t="shared" si="1"/>
        <v>-79699248120300.75</v>
      </c>
      <c r="F26" s="5">
        <v>-706000000000</v>
      </c>
      <c r="G26">
        <v>1.25</v>
      </c>
    </row>
    <row r="27" spans="1:7" x14ac:dyDescent="0.2">
      <c r="A27">
        <v>21600</v>
      </c>
      <c r="B27">
        <v>8798</v>
      </c>
      <c r="C27">
        <v>0.23148148148148145</v>
      </c>
      <c r="D27">
        <f t="shared" si="0"/>
        <v>141503759398496.22</v>
      </c>
      <c r="E27">
        <f t="shared" si="1"/>
        <v>-79699248120300.75</v>
      </c>
      <c r="F27" s="5">
        <v>-737000000000</v>
      </c>
      <c r="G27">
        <v>1.25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26E06-A0ED-9249-A98E-966C6F3F4108}">
  <dimension ref="A1:G30"/>
  <sheetViews>
    <sheetView topLeftCell="C1" workbookViewId="0">
      <selection activeCell="H28" sqref="H28"/>
    </sheetView>
  </sheetViews>
  <sheetFormatPr baseColWidth="10" defaultRowHeight="16" x14ac:dyDescent="0.2"/>
  <cols>
    <col min="4" max="4" width="22" customWidth="1"/>
    <col min="5" max="5" width="26.66406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8780</v>
      </c>
      <c r="C2" s="6">
        <v>0</v>
      </c>
      <c r="D2">
        <f>483*5*10^11/5.32</f>
        <v>45394736842105.258</v>
      </c>
      <c r="E2">
        <f>3650*2*10^12/5.32</f>
        <v>1372180451127819.5</v>
      </c>
      <c r="F2">
        <v>829215130248.68054</v>
      </c>
      <c r="G2">
        <v>2.42</v>
      </c>
    </row>
    <row r="3" spans="1:7" x14ac:dyDescent="0.2">
      <c r="A3">
        <v>450</v>
      </c>
      <c r="B3">
        <v>8780</v>
      </c>
      <c r="C3" s="6">
        <v>0.26888888999999999</v>
      </c>
      <c r="D3">
        <f t="shared" ref="D3:D30" si="0">483*5*10^11/5.32</f>
        <v>45394736842105.258</v>
      </c>
      <c r="E3">
        <f t="shared" ref="E3:E30" si="1">3650*2*10^12/5.32</f>
        <v>1372180451127819.5</v>
      </c>
      <c r="F3">
        <v>828424725410.73865</v>
      </c>
      <c r="G3">
        <v>2.42</v>
      </c>
    </row>
    <row r="4" spans="1:7" x14ac:dyDescent="0.2">
      <c r="A4">
        <v>900</v>
      </c>
      <c r="B4">
        <v>8780</v>
      </c>
      <c r="C4" s="6">
        <v>6.8888889999999994E-2</v>
      </c>
      <c r="D4">
        <f t="shared" si="0"/>
        <v>45394736842105.258</v>
      </c>
      <c r="E4">
        <f t="shared" si="1"/>
        <v>1372180451127819.5</v>
      </c>
      <c r="F4">
        <v>827770294708.56763</v>
      </c>
      <c r="G4">
        <v>2.42</v>
      </c>
    </row>
    <row r="5" spans="1:7" x14ac:dyDescent="0.2">
      <c r="A5">
        <v>1350</v>
      </c>
      <c r="B5">
        <v>8760</v>
      </c>
      <c r="C5" s="6">
        <v>5.7777780000000001E-2</v>
      </c>
      <c r="D5">
        <f t="shared" si="0"/>
        <v>45394736842105.258</v>
      </c>
      <c r="E5">
        <f t="shared" si="1"/>
        <v>1372180451127819.5</v>
      </c>
      <c r="F5">
        <v>826947571559.43079</v>
      </c>
      <c r="G5">
        <v>2.42</v>
      </c>
    </row>
    <row r="6" spans="1:7" x14ac:dyDescent="0.2">
      <c r="A6">
        <v>2880</v>
      </c>
      <c r="B6">
        <v>8740</v>
      </c>
      <c r="C6" s="6">
        <v>3.6111110000000002E-2</v>
      </c>
      <c r="D6">
        <f t="shared" si="0"/>
        <v>45394736842105.258</v>
      </c>
      <c r="E6">
        <f t="shared" si="1"/>
        <v>1372180451127819.5</v>
      </c>
      <c r="F6">
        <v>825851634391.41138</v>
      </c>
      <c r="G6">
        <v>2.42</v>
      </c>
    </row>
    <row r="7" spans="1:7" x14ac:dyDescent="0.2">
      <c r="A7">
        <v>3600</v>
      </c>
      <c r="B7">
        <v>8720</v>
      </c>
      <c r="C7" s="6">
        <v>4.0555559999999997E-2</v>
      </c>
      <c r="D7">
        <f t="shared" si="0"/>
        <v>45394736842105.258</v>
      </c>
      <c r="E7">
        <f t="shared" si="1"/>
        <v>1372180451127819.5</v>
      </c>
      <c r="F7">
        <v>824315086002.1272</v>
      </c>
      <c r="G7">
        <v>2.42</v>
      </c>
    </row>
    <row r="8" spans="1:7" x14ac:dyDescent="0.2">
      <c r="A8">
        <v>4320</v>
      </c>
      <c r="B8">
        <v>8700</v>
      </c>
      <c r="C8" s="6">
        <v>3.7731479999999998E-2</v>
      </c>
      <c r="D8">
        <f t="shared" si="0"/>
        <v>45394736842105.258</v>
      </c>
      <c r="E8">
        <f t="shared" si="1"/>
        <v>1372180451127819.5</v>
      </c>
      <c r="F8">
        <v>822602352064.72498</v>
      </c>
      <c r="G8">
        <v>2.42</v>
      </c>
    </row>
    <row r="9" spans="1:7" x14ac:dyDescent="0.2">
      <c r="A9">
        <v>5040</v>
      </c>
      <c r="B9">
        <v>8680</v>
      </c>
      <c r="C9" s="6">
        <v>6.2301589999999997E-2</v>
      </c>
      <c r="D9">
        <f t="shared" si="0"/>
        <v>45394736842105.258</v>
      </c>
      <c r="E9">
        <f t="shared" si="1"/>
        <v>1372180451127819.5</v>
      </c>
      <c r="F9">
        <v>819311073046.29102</v>
      </c>
      <c r="G9">
        <v>2.42</v>
      </c>
    </row>
    <row r="10" spans="1:7" x14ac:dyDescent="0.2">
      <c r="A10">
        <v>5760</v>
      </c>
      <c r="B10">
        <v>8660</v>
      </c>
      <c r="C10" s="6">
        <v>7.9861109999999999E-2</v>
      </c>
      <c r="D10">
        <f t="shared" si="0"/>
        <v>45394736842105.258</v>
      </c>
      <c r="E10">
        <f t="shared" si="1"/>
        <v>1372180451127819.5</v>
      </c>
      <c r="F10">
        <v>814508656914.11047</v>
      </c>
      <c r="G10">
        <v>2.42</v>
      </c>
    </row>
    <row r="11" spans="1:7" x14ac:dyDescent="0.2">
      <c r="A11">
        <v>6480</v>
      </c>
      <c r="B11">
        <v>8640</v>
      </c>
      <c r="C11" s="6">
        <v>9.8148150000000003E-2</v>
      </c>
      <c r="D11">
        <f t="shared" si="0"/>
        <v>45394736842105.258</v>
      </c>
      <c r="E11">
        <f t="shared" si="1"/>
        <v>1372180451127819.5</v>
      </c>
      <c r="F11">
        <v>807906251382.354</v>
      </c>
      <c r="G11">
        <v>2.42</v>
      </c>
    </row>
    <row r="12" spans="1:7" x14ac:dyDescent="0.2">
      <c r="A12">
        <v>7200</v>
      </c>
      <c r="B12">
        <v>8620</v>
      </c>
      <c r="C12" s="6">
        <v>0.15819443999999999</v>
      </c>
      <c r="D12">
        <f t="shared" si="0"/>
        <v>45394736842105.258</v>
      </c>
      <c r="E12">
        <f t="shared" si="1"/>
        <v>1372180451127819.5</v>
      </c>
      <c r="F12">
        <v>796190136053.33081</v>
      </c>
      <c r="G12">
        <v>2.42</v>
      </c>
    </row>
    <row r="13" spans="1:7" x14ac:dyDescent="0.2">
      <c r="A13">
        <v>7920</v>
      </c>
      <c r="B13">
        <v>8600</v>
      </c>
      <c r="C13" s="6">
        <v>0.16414140999999999</v>
      </c>
      <c r="D13">
        <f t="shared" si="0"/>
        <v>45394736842105.258</v>
      </c>
      <c r="E13">
        <f t="shared" si="1"/>
        <v>1372180451127819.5</v>
      </c>
      <c r="F13">
        <v>782985944792.97852</v>
      </c>
      <c r="G13">
        <v>2.42</v>
      </c>
    </row>
    <row r="14" spans="1:7" x14ac:dyDescent="0.2">
      <c r="A14">
        <v>8640</v>
      </c>
      <c r="B14">
        <v>8600</v>
      </c>
      <c r="C14" s="6">
        <v>0.30555556</v>
      </c>
      <c r="D14">
        <f t="shared" si="0"/>
        <v>45394736842105.258</v>
      </c>
      <c r="E14">
        <f t="shared" si="1"/>
        <v>1372180451127819.5</v>
      </c>
      <c r="F14">
        <v>756715150263.23633</v>
      </c>
      <c r="G14">
        <v>2.42</v>
      </c>
    </row>
    <row r="15" spans="1:7" x14ac:dyDescent="0.2">
      <c r="A15">
        <v>9086.4</v>
      </c>
      <c r="B15">
        <v>8600</v>
      </c>
      <c r="C15" s="6">
        <v>0.18269061</v>
      </c>
      <c r="D15">
        <f t="shared" si="0"/>
        <v>45394736842105.258</v>
      </c>
      <c r="E15">
        <f t="shared" si="1"/>
        <v>1372180451127819.5</v>
      </c>
      <c r="F15">
        <v>740564124669.56213</v>
      </c>
      <c r="G15">
        <v>2.42</v>
      </c>
    </row>
    <row r="16" spans="1:7" x14ac:dyDescent="0.2">
      <c r="A16">
        <v>10080</v>
      </c>
      <c r="B16">
        <v>8580</v>
      </c>
      <c r="C16" s="6">
        <v>0.31746032000000002</v>
      </c>
      <c r="D16">
        <f t="shared" si="0"/>
        <v>45394736842105.258</v>
      </c>
      <c r="E16">
        <f t="shared" si="1"/>
        <v>1372180451127819.5</v>
      </c>
      <c r="F16">
        <v>710214975401.68079</v>
      </c>
      <c r="G16">
        <v>2.42</v>
      </c>
    </row>
    <row r="17" spans="1:7" x14ac:dyDescent="0.2">
      <c r="A17">
        <v>10800</v>
      </c>
      <c r="B17">
        <v>8560</v>
      </c>
      <c r="C17" s="6">
        <v>0.46296295999999998</v>
      </c>
      <c r="D17">
        <f t="shared" si="0"/>
        <v>45394736842105.258</v>
      </c>
      <c r="E17">
        <f t="shared" si="1"/>
        <v>1372180451127819.5</v>
      </c>
      <c r="F17">
        <v>664810913498.43726</v>
      </c>
      <c r="G17">
        <v>2.42</v>
      </c>
    </row>
    <row r="18" spans="1:7" x14ac:dyDescent="0.2">
      <c r="A18">
        <v>11520</v>
      </c>
      <c r="B18">
        <v>8560</v>
      </c>
      <c r="C18" s="6">
        <v>0.67708332999999998</v>
      </c>
      <c r="D18">
        <f t="shared" si="0"/>
        <v>45394736842105.258</v>
      </c>
      <c r="E18">
        <f t="shared" si="1"/>
        <v>1372180451127819.5</v>
      </c>
      <c r="F18">
        <v>598682867315.22583</v>
      </c>
      <c r="G18">
        <v>2.42</v>
      </c>
    </row>
    <row r="19" spans="1:7" x14ac:dyDescent="0.2">
      <c r="A19">
        <v>12096</v>
      </c>
      <c r="B19">
        <v>8660</v>
      </c>
      <c r="C19" s="6">
        <v>0.67791005000000004</v>
      </c>
      <c r="D19">
        <f t="shared" si="0"/>
        <v>45394736842105.258</v>
      </c>
      <c r="E19">
        <f t="shared" si="1"/>
        <v>1372180451127819.5</v>
      </c>
      <c r="F19">
        <v>534996033032.57953</v>
      </c>
      <c r="G19">
        <v>2.42</v>
      </c>
    </row>
    <row r="20" spans="1:7" x14ac:dyDescent="0.2">
      <c r="A20">
        <v>12960</v>
      </c>
      <c r="B20">
        <v>8700</v>
      </c>
      <c r="C20" s="6">
        <v>1.5354938300000001</v>
      </c>
      <c r="D20">
        <f t="shared" si="0"/>
        <v>45394736842105.258</v>
      </c>
      <c r="E20">
        <f t="shared" si="1"/>
        <v>1372180451127819.5</v>
      </c>
      <c r="F20">
        <v>493000000000</v>
      </c>
      <c r="G20">
        <v>2.42</v>
      </c>
    </row>
    <row r="21" spans="1:7" x14ac:dyDescent="0.2">
      <c r="A21">
        <v>13680</v>
      </c>
      <c r="B21">
        <v>8700</v>
      </c>
      <c r="C21" s="6">
        <v>1.5350877199999999</v>
      </c>
      <c r="D21">
        <f t="shared" si="0"/>
        <v>45394736842105.258</v>
      </c>
      <c r="E21">
        <f t="shared" si="1"/>
        <v>1372180451127819.5</v>
      </c>
      <c r="F21">
        <v>493000000000</v>
      </c>
      <c r="G21">
        <v>2.42</v>
      </c>
    </row>
    <row r="22" spans="1:7" x14ac:dyDescent="0.2">
      <c r="A22">
        <v>15120</v>
      </c>
      <c r="B22">
        <v>8700</v>
      </c>
      <c r="C22" s="6">
        <v>2.7513227499999999</v>
      </c>
      <c r="D22">
        <f t="shared" si="0"/>
        <v>45394736842105.258</v>
      </c>
      <c r="E22">
        <f t="shared" si="1"/>
        <v>1372180451127819.5</v>
      </c>
      <c r="F22">
        <v>493000000000</v>
      </c>
      <c r="G22">
        <v>2.42</v>
      </c>
    </row>
    <row r="23" spans="1:7" x14ac:dyDescent="0.2">
      <c r="A23">
        <v>16560</v>
      </c>
      <c r="B23">
        <v>8700</v>
      </c>
      <c r="C23" s="6">
        <v>2.57850242</v>
      </c>
      <c r="D23">
        <f t="shared" si="0"/>
        <v>45394736842105.258</v>
      </c>
      <c r="E23">
        <f t="shared" si="1"/>
        <v>1372180451127819.5</v>
      </c>
      <c r="F23">
        <v>493000000000</v>
      </c>
      <c r="G23">
        <v>2.42</v>
      </c>
    </row>
    <row r="24" spans="1:7" x14ac:dyDescent="0.2">
      <c r="A24">
        <v>17280</v>
      </c>
      <c r="B24">
        <v>8700</v>
      </c>
      <c r="C24" s="6">
        <v>1.1516203700000001</v>
      </c>
      <c r="D24">
        <f t="shared" si="0"/>
        <v>45394736842105.258</v>
      </c>
      <c r="E24">
        <f t="shared" si="1"/>
        <v>1372180451127819.5</v>
      </c>
      <c r="F24">
        <v>-953973920376.54675</v>
      </c>
      <c r="G24">
        <v>2.42</v>
      </c>
    </row>
    <row r="25" spans="1:7" x14ac:dyDescent="0.2">
      <c r="A25">
        <v>18720</v>
      </c>
      <c r="B25">
        <v>8700</v>
      </c>
      <c r="C25" s="6">
        <v>1.9070512799999999</v>
      </c>
      <c r="D25">
        <f t="shared" si="0"/>
        <v>45394736842105.258</v>
      </c>
      <c r="E25">
        <f t="shared" si="1"/>
        <v>1372180451127819.5</v>
      </c>
      <c r="F25">
        <v>-2828931921674.645</v>
      </c>
      <c r="G25">
        <v>2.42</v>
      </c>
    </row>
    <row r="26" spans="1:7" x14ac:dyDescent="0.2">
      <c r="A26">
        <v>19584</v>
      </c>
      <c r="B26">
        <v>8700</v>
      </c>
      <c r="C26" s="6">
        <v>0.95486110999999996</v>
      </c>
      <c r="D26">
        <f t="shared" si="0"/>
        <v>45394736842105.258</v>
      </c>
      <c r="E26">
        <f t="shared" si="1"/>
        <v>1372180451127819.5</v>
      </c>
      <c r="F26">
        <v>-3136469686295.835</v>
      </c>
      <c r="G26">
        <v>2.42</v>
      </c>
    </row>
    <row r="27" spans="1:7" x14ac:dyDescent="0.2">
      <c r="A27">
        <v>20736</v>
      </c>
      <c r="B27">
        <v>8700</v>
      </c>
      <c r="C27" s="6">
        <v>1.0754243800000001</v>
      </c>
      <c r="D27">
        <f t="shared" si="0"/>
        <v>45394736842105.258</v>
      </c>
      <c r="E27">
        <f t="shared" si="1"/>
        <v>1372180451127819.5</v>
      </c>
      <c r="F27">
        <v>-3488774750035.457</v>
      </c>
      <c r="G27">
        <v>2.42</v>
      </c>
    </row>
    <row r="28" spans="1:7" x14ac:dyDescent="0.2">
      <c r="A28">
        <v>26064</v>
      </c>
      <c r="B28">
        <v>10180</v>
      </c>
      <c r="C28" s="6">
        <v>4.0784223400000004</v>
      </c>
      <c r="D28">
        <f t="shared" si="0"/>
        <v>45394736842105.258</v>
      </c>
      <c r="E28">
        <f t="shared" si="1"/>
        <v>1372180451127819.5</v>
      </c>
      <c r="F28">
        <v>-8855287537663.9238</v>
      </c>
      <c r="G28">
        <v>2.42</v>
      </c>
    </row>
    <row r="29" spans="1:7" x14ac:dyDescent="0.2">
      <c r="A29">
        <v>27504</v>
      </c>
      <c r="B29">
        <v>10580</v>
      </c>
      <c r="C29" s="6">
        <v>0.98894705999999999</v>
      </c>
      <c r="D29">
        <f t="shared" si="0"/>
        <v>45394736842105.258</v>
      </c>
      <c r="E29">
        <f t="shared" si="1"/>
        <v>1372180451127819.5</v>
      </c>
      <c r="F29">
        <v>-17709063687440.848</v>
      </c>
      <c r="G29">
        <v>2.42</v>
      </c>
    </row>
    <row r="30" spans="1:7" x14ac:dyDescent="0.2">
      <c r="A30">
        <v>28080</v>
      </c>
      <c r="B30">
        <v>10740</v>
      </c>
      <c r="C30" s="6">
        <v>0.67663817999999998</v>
      </c>
      <c r="D30">
        <f t="shared" si="0"/>
        <v>45394736842105.258</v>
      </c>
      <c r="E30">
        <f t="shared" si="1"/>
        <v>1372180451127819.5</v>
      </c>
      <c r="F30">
        <v>-56106566391185.406</v>
      </c>
      <c r="G30">
        <v>2.42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AA86-6557-7442-92C7-CE6EE5AB9C50}">
  <dimension ref="A1:G38"/>
  <sheetViews>
    <sheetView topLeftCell="C5" workbookViewId="0">
      <selection activeCell="F36" sqref="F36"/>
    </sheetView>
  </sheetViews>
  <sheetFormatPr baseColWidth="10" defaultRowHeight="16" x14ac:dyDescent="0.2"/>
  <cols>
    <col min="4" max="4" width="25.33203125" customWidth="1"/>
    <col min="5" max="5" width="34.83203125" customWidth="1"/>
    <col min="6" max="6" width="25.16406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8760</v>
      </c>
      <c r="C2" s="6">
        <v>0</v>
      </c>
      <c r="D2">
        <f>3*10^11*1414/5.32</f>
        <v>79736842105263.156</v>
      </c>
      <c r="E2">
        <f t="shared" ref="E2:E4" si="0">2667*-5.72*10^11/5.32</f>
        <v>-286752631578947.38</v>
      </c>
      <c r="G2">
        <v>1.47</v>
      </c>
    </row>
    <row r="3" spans="1:7" x14ac:dyDescent="0.2">
      <c r="A3">
        <v>450</v>
      </c>
      <c r="B3">
        <v>8760</v>
      </c>
      <c r="C3" s="6">
        <v>3.7777779999999997E-2</v>
      </c>
      <c r="D3">
        <f t="shared" ref="D3:D38" si="1">3*10^11*1414/5.32</f>
        <v>79736842105263.156</v>
      </c>
      <c r="E3">
        <f t="shared" si="0"/>
        <v>-286752631578947.38</v>
      </c>
      <c r="G3">
        <v>1.47</v>
      </c>
    </row>
    <row r="4" spans="1:7" x14ac:dyDescent="0.2">
      <c r="A4">
        <v>810</v>
      </c>
      <c r="B4">
        <v>8760</v>
      </c>
      <c r="C4" s="6">
        <v>5.6790119999999999E-2</v>
      </c>
      <c r="D4">
        <f t="shared" si="1"/>
        <v>79736842105263.156</v>
      </c>
      <c r="E4">
        <f t="shared" si="0"/>
        <v>-286752631578947.38</v>
      </c>
      <c r="G4">
        <v>1.47</v>
      </c>
    </row>
    <row r="5" spans="1:7" x14ac:dyDescent="0.2">
      <c r="A5">
        <v>1350</v>
      </c>
      <c r="B5">
        <v>8760</v>
      </c>
      <c r="C5" s="6">
        <v>3.0370370000000001E-2</v>
      </c>
      <c r="D5">
        <f t="shared" si="1"/>
        <v>79736842105263.156</v>
      </c>
      <c r="E5">
        <f t="shared" ref="E5:E24" si="2">2667*-5.72*10^11/5.32</f>
        <v>-286752631578947.38</v>
      </c>
      <c r="G5">
        <v>1.47</v>
      </c>
    </row>
    <row r="6" spans="1:7" x14ac:dyDescent="0.2">
      <c r="A6">
        <v>2880</v>
      </c>
      <c r="B6">
        <v>8740</v>
      </c>
      <c r="C6" s="6">
        <v>1.354167E-2</v>
      </c>
      <c r="D6">
        <f t="shared" si="1"/>
        <v>79736842105263.156</v>
      </c>
      <c r="E6">
        <f t="shared" si="2"/>
        <v>-286752631578947.38</v>
      </c>
      <c r="G6">
        <v>1.47</v>
      </c>
    </row>
    <row r="7" spans="1:7" x14ac:dyDescent="0.2">
      <c r="A7">
        <v>3600</v>
      </c>
      <c r="B7">
        <v>8720</v>
      </c>
      <c r="C7" s="6">
        <v>1.583333E-2</v>
      </c>
      <c r="D7">
        <f t="shared" si="1"/>
        <v>79736842105263.156</v>
      </c>
      <c r="E7">
        <f t="shared" si="2"/>
        <v>-286752631578947.38</v>
      </c>
      <c r="G7">
        <v>1.47</v>
      </c>
    </row>
    <row r="8" spans="1:7" x14ac:dyDescent="0.2">
      <c r="A8">
        <v>4320</v>
      </c>
      <c r="B8">
        <v>8700</v>
      </c>
      <c r="C8" s="6">
        <v>1.7361109999999999E-2</v>
      </c>
      <c r="D8">
        <f t="shared" si="1"/>
        <v>79736842105263.156</v>
      </c>
      <c r="E8">
        <f t="shared" si="2"/>
        <v>-286752631578947.38</v>
      </c>
      <c r="G8">
        <v>1.47</v>
      </c>
    </row>
    <row r="9" spans="1:7" x14ac:dyDescent="0.2">
      <c r="A9">
        <v>5040</v>
      </c>
      <c r="B9">
        <v>8680</v>
      </c>
      <c r="C9" s="6">
        <v>2.5000000000000001E-2</v>
      </c>
      <c r="D9">
        <f t="shared" si="1"/>
        <v>79736842105263.156</v>
      </c>
      <c r="E9">
        <f t="shared" si="2"/>
        <v>-286752631578947.38</v>
      </c>
      <c r="G9">
        <v>1.47</v>
      </c>
    </row>
    <row r="10" spans="1:7" x14ac:dyDescent="0.2">
      <c r="A10">
        <v>5760</v>
      </c>
      <c r="B10">
        <v>8660</v>
      </c>
      <c r="C10" s="6">
        <v>3.454861E-2</v>
      </c>
      <c r="D10">
        <f t="shared" si="1"/>
        <v>79736842105263.156</v>
      </c>
      <c r="E10">
        <f t="shared" si="2"/>
        <v>-286752631578947.38</v>
      </c>
      <c r="G10">
        <v>1.47</v>
      </c>
    </row>
    <row r="11" spans="1:7" x14ac:dyDescent="0.2">
      <c r="A11">
        <v>6480</v>
      </c>
      <c r="B11">
        <v>8640</v>
      </c>
      <c r="C11" s="6">
        <v>6.1111110000000003E-2</v>
      </c>
      <c r="D11">
        <f t="shared" si="1"/>
        <v>79736842105263.156</v>
      </c>
      <c r="E11">
        <f t="shared" si="2"/>
        <v>-286752631578947.38</v>
      </c>
      <c r="G11">
        <v>1.47</v>
      </c>
    </row>
    <row r="12" spans="1:7" x14ac:dyDescent="0.2">
      <c r="A12">
        <v>7200</v>
      </c>
      <c r="B12">
        <v>8620</v>
      </c>
      <c r="C12" s="6">
        <v>7.9444440000000005E-2</v>
      </c>
      <c r="D12">
        <f t="shared" si="1"/>
        <v>79736842105263.156</v>
      </c>
      <c r="E12">
        <f t="shared" si="2"/>
        <v>-286752631578947.38</v>
      </c>
      <c r="G12">
        <v>1.47</v>
      </c>
    </row>
    <row r="13" spans="1:7" x14ac:dyDescent="0.2">
      <c r="A13">
        <v>7920</v>
      </c>
      <c r="B13">
        <v>8600</v>
      </c>
      <c r="C13" s="6">
        <v>0.12234848</v>
      </c>
      <c r="D13">
        <f t="shared" si="1"/>
        <v>79736842105263.156</v>
      </c>
      <c r="E13">
        <f t="shared" si="2"/>
        <v>-286752631578947.38</v>
      </c>
      <c r="G13">
        <v>1.47</v>
      </c>
    </row>
    <row r="14" spans="1:7" x14ac:dyDescent="0.2">
      <c r="A14">
        <v>8640</v>
      </c>
      <c r="B14">
        <v>8600</v>
      </c>
      <c r="C14" s="6">
        <v>0.18958332999999999</v>
      </c>
      <c r="D14">
        <f t="shared" si="1"/>
        <v>79736842105263.156</v>
      </c>
      <c r="E14">
        <f t="shared" si="2"/>
        <v>-286752631578947.38</v>
      </c>
      <c r="G14">
        <v>1.47</v>
      </c>
    </row>
    <row r="15" spans="1:7" x14ac:dyDescent="0.2">
      <c r="A15">
        <v>9360</v>
      </c>
      <c r="B15">
        <v>8600</v>
      </c>
      <c r="C15" s="6">
        <v>0.30320512999999999</v>
      </c>
      <c r="D15">
        <f t="shared" si="1"/>
        <v>79736842105263.156</v>
      </c>
      <c r="E15">
        <f t="shared" si="2"/>
        <v>-286752631578947.38</v>
      </c>
      <c r="G15">
        <v>1.47</v>
      </c>
    </row>
    <row r="16" spans="1:7" x14ac:dyDescent="0.2">
      <c r="A16">
        <v>10080</v>
      </c>
      <c r="B16">
        <v>8580</v>
      </c>
      <c r="C16" s="6">
        <v>0.35367062999999999</v>
      </c>
      <c r="D16">
        <f t="shared" si="1"/>
        <v>79736842105263.156</v>
      </c>
      <c r="E16">
        <f t="shared" si="2"/>
        <v>-286752631578947.38</v>
      </c>
      <c r="G16">
        <v>1.47</v>
      </c>
    </row>
    <row r="17" spans="1:7" x14ac:dyDescent="0.2">
      <c r="A17">
        <v>10800</v>
      </c>
      <c r="B17">
        <v>8560</v>
      </c>
      <c r="C17" s="6">
        <v>0.52888888999999994</v>
      </c>
      <c r="D17">
        <f t="shared" si="1"/>
        <v>79736842105263.156</v>
      </c>
      <c r="E17">
        <f t="shared" si="2"/>
        <v>-286752631578947.38</v>
      </c>
      <c r="G17">
        <v>1.47</v>
      </c>
    </row>
    <row r="18" spans="1:7" x14ac:dyDescent="0.2">
      <c r="A18">
        <v>11520</v>
      </c>
      <c r="B18">
        <v>8560</v>
      </c>
      <c r="C18" s="6">
        <v>0.83333332999999998</v>
      </c>
      <c r="D18">
        <f t="shared" si="1"/>
        <v>79736842105263.156</v>
      </c>
      <c r="E18">
        <f t="shared" si="2"/>
        <v>-286752631578947.38</v>
      </c>
      <c r="G18">
        <v>1.47</v>
      </c>
    </row>
    <row r="19" spans="1:7" x14ac:dyDescent="0.2">
      <c r="A19">
        <v>12240</v>
      </c>
      <c r="B19">
        <v>8660</v>
      </c>
      <c r="C19" s="6">
        <v>0.73529412000000005</v>
      </c>
      <c r="D19">
        <f t="shared" si="1"/>
        <v>79736842105263.156</v>
      </c>
      <c r="E19">
        <f t="shared" si="2"/>
        <v>-286752631578947.38</v>
      </c>
      <c r="G19">
        <v>1.47</v>
      </c>
    </row>
    <row r="20" spans="1:7" x14ac:dyDescent="0.2">
      <c r="A20">
        <v>12960</v>
      </c>
      <c r="B20">
        <v>8700</v>
      </c>
      <c r="C20" s="6">
        <v>0.95679011999999997</v>
      </c>
      <c r="D20">
        <f t="shared" si="1"/>
        <v>79736842105263.156</v>
      </c>
      <c r="E20">
        <f t="shared" si="2"/>
        <v>-286752631578947.38</v>
      </c>
      <c r="G20">
        <v>1.47</v>
      </c>
    </row>
    <row r="21" spans="1:7" x14ac:dyDescent="0.2">
      <c r="A21">
        <v>13680</v>
      </c>
      <c r="B21">
        <v>8700</v>
      </c>
      <c r="C21" s="6">
        <v>1.03070175</v>
      </c>
      <c r="D21">
        <f t="shared" si="1"/>
        <v>79736842105263.156</v>
      </c>
      <c r="E21">
        <f t="shared" si="2"/>
        <v>-286752631578947.38</v>
      </c>
      <c r="G21">
        <v>1.47</v>
      </c>
    </row>
    <row r="22" spans="1:7" x14ac:dyDescent="0.2">
      <c r="A22">
        <v>14400</v>
      </c>
      <c r="B22">
        <v>8700</v>
      </c>
      <c r="C22" s="6">
        <v>1.0208333300000001</v>
      </c>
      <c r="D22">
        <f t="shared" si="1"/>
        <v>79736842105263.156</v>
      </c>
      <c r="E22">
        <f t="shared" si="2"/>
        <v>-286752631578947.38</v>
      </c>
      <c r="G22">
        <v>1.47</v>
      </c>
    </row>
    <row r="23" spans="1:7" x14ac:dyDescent="0.2">
      <c r="A23">
        <v>15120</v>
      </c>
      <c r="B23">
        <v>8700</v>
      </c>
      <c r="C23" s="6">
        <v>1.1243386200000001</v>
      </c>
      <c r="D23">
        <f t="shared" si="1"/>
        <v>79736842105263.156</v>
      </c>
      <c r="E23">
        <f t="shared" si="2"/>
        <v>-286752631578947.38</v>
      </c>
      <c r="G23">
        <v>1.47</v>
      </c>
    </row>
    <row r="24" spans="1:7" x14ac:dyDescent="0.2">
      <c r="A24">
        <v>15840</v>
      </c>
      <c r="B24">
        <v>8700</v>
      </c>
      <c r="C24" s="6">
        <v>0.90277777999999997</v>
      </c>
      <c r="D24">
        <f t="shared" si="1"/>
        <v>79736842105263.156</v>
      </c>
      <c r="E24">
        <f t="shared" si="2"/>
        <v>-286752631578947.38</v>
      </c>
      <c r="G24">
        <v>1.47</v>
      </c>
    </row>
    <row r="25" spans="1:7" x14ac:dyDescent="0.2">
      <c r="A25">
        <v>16560</v>
      </c>
      <c r="B25">
        <v>8700</v>
      </c>
      <c r="C25" s="6">
        <v>0.98429951999999998</v>
      </c>
      <c r="D25">
        <f t="shared" si="1"/>
        <v>79736842105263.156</v>
      </c>
      <c r="E25">
        <f>2667*-5.72*10^11/5.32</f>
        <v>-286752631578947.38</v>
      </c>
      <c r="G25">
        <v>1.47</v>
      </c>
    </row>
    <row r="26" spans="1:7" x14ac:dyDescent="0.2">
      <c r="A26">
        <v>17496</v>
      </c>
      <c r="B26">
        <v>8700</v>
      </c>
      <c r="C26" s="6">
        <v>1.2288523099999999</v>
      </c>
      <c r="D26">
        <f t="shared" si="1"/>
        <v>79736842105263.156</v>
      </c>
      <c r="E26">
        <f t="shared" ref="E26:E38" si="3">2667*-5.72*10^11/5.32</f>
        <v>-286752631578947.38</v>
      </c>
      <c r="G26">
        <v>1.47</v>
      </c>
    </row>
    <row r="27" spans="1:7" x14ac:dyDescent="0.2">
      <c r="A27">
        <v>18000</v>
      </c>
      <c r="B27">
        <v>8700</v>
      </c>
      <c r="C27" s="6">
        <v>0.68333332999999996</v>
      </c>
      <c r="D27">
        <f t="shared" si="1"/>
        <v>79736842105263.156</v>
      </c>
      <c r="E27">
        <f t="shared" si="3"/>
        <v>-286752631578947.38</v>
      </c>
      <c r="G27">
        <v>1.47</v>
      </c>
    </row>
    <row r="28" spans="1:7" x14ac:dyDescent="0.2">
      <c r="A28">
        <v>18720</v>
      </c>
      <c r="B28">
        <v>8700</v>
      </c>
      <c r="C28" s="6">
        <v>0.75320513</v>
      </c>
      <c r="D28">
        <f t="shared" si="1"/>
        <v>79736842105263.156</v>
      </c>
      <c r="E28">
        <f t="shared" si="3"/>
        <v>-286752631578947.38</v>
      </c>
      <c r="G28">
        <v>1.47</v>
      </c>
    </row>
    <row r="29" spans="1:7" x14ac:dyDescent="0.2">
      <c r="A29">
        <v>19440</v>
      </c>
      <c r="B29">
        <v>8700</v>
      </c>
      <c r="C29" s="6">
        <v>0.82818930000000002</v>
      </c>
      <c r="D29">
        <f t="shared" si="1"/>
        <v>79736842105263.156</v>
      </c>
      <c r="E29">
        <f t="shared" si="3"/>
        <v>-286752631578947.38</v>
      </c>
      <c r="G29">
        <v>1.47</v>
      </c>
    </row>
    <row r="30" spans="1:7" x14ac:dyDescent="0.2">
      <c r="A30">
        <v>20160</v>
      </c>
      <c r="B30">
        <v>8700</v>
      </c>
      <c r="C30" s="6">
        <v>0.70436507999999998</v>
      </c>
      <c r="D30">
        <f t="shared" si="1"/>
        <v>79736842105263.156</v>
      </c>
      <c r="E30">
        <f t="shared" si="3"/>
        <v>-286752631578947.38</v>
      </c>
      <c r="G30">
        <v>1.47</v>
      </c>
    </row>
    <row r="31" spans="1:7" x14ac:dyDescent="0.2">
      <c r="A31">
        <v>20880</v>
      </c>
      <c r="B31">
        <v>8700</v>
      </c>
      <c r="C31" s="6">
        <v>0.63218390999999996</v>
      </c>
      <c r="D31">
        <f t="shared" si="1"/>
        <v>79736842105263.156</v>
      </c>
      <c r="E31">
        <f t="shared" si="3"/>
        <v>-286752631578947.38</v>
      </c>
      <c r="G31">
        <v>1.47</v>
      </c>
    </row>
    <row r="32" spans="1:7" x14ac:dyDescent="0.2">
      <c r="A32">
        <v>21600</v>
      </c>
      <c r="B32">
        <v>8700</v>
      </c>
      <c r="C32" s="6">
        <v>0.61111110999999996</v>
      </c>
      <c r="D32">
        <f t="shared" si="1"/>
        <v>79736842105263.156</v>
      </c>
      <c r="E32">
        <f t="shared" si="3"/>
        <v>-286752631578947.38</v>
      </c>
      <c r="G32">
        <v>1.47</v>
      </c>
    </row>
    <row r="33" spans="1:7" x14ac:dyDescent="0.2">
      <c r="A33">
        <v>22320</v>
      </c>
      <c r="B33">
        <v>8700</v>
      </c>
      <c r="C33" s="6">
        <v>0.56003583999999995</v>
      </c>
      <c r="D33">
        <f t="shared" si="1"/>
        <v>79736842105263.156</v>
      </c>
      <c r="E33">
        <f t="shared" si="3"/>
        <v>-286752631578947.38</v>
      </c>
      <c r="G33">
        <v>1.47</v>
      </c>
    </row>
    <row r="34" spans="1:7" x14ac:dyDescent="0.2">
      <c r="A34">
        <v>23760</v>
      </c>
      <c r="B34">
        <v>8700</v>
      </c>
      <c r="C34" s="6">
        <v>1.0816498299999999</v>
      </c>
      <c r="D34">
        <f t="shared" si="1"/>
        <v>79736842105263.156</v>
      </c>
      <c r="E34">
        <f t="shared" si="3"/>
        <v>-286752631578947.38</v>
      </c>
      <c r="G34">
        <v>1.47</v>
      </c>
    </row>
    <row r="35" spans="1:7" x14ac:dyDescent="0.2">
      <c r="A35">
        <v>24480</v>
      </c>
      <c r="B35">
        <v>8700</v>
      </c>
      <c r="C35" s="6">
        <v>0.55147058999999998</v>
      </c>
      <c r="D35">
        <f t="shared" si="1"/>
        <v>79736842105263.156</v>
      </c>
      <c r="E35">
        <f t="shared" si="3"/>
        <v>-286752631578947.38</v>
      </c>
      <c r="G35">
        <v>1.47</v>
      </c>
    </row>
    <row r="36" spans="1:7" x14ac:dyDescent="0.2">
      <c r="A36">
        <v>24854.399999999998</v>
      </c>
      <c r="B36">
        <v>8700</v>
      </c>
      <c r="C36" s="6">
        <v>0.32187460000000001</v>
      </c>
      <c r="D36">
        <f t="shared" si="1"/>
        <v>79736842105263.156</v>
      </c>
      <c r="E36">
        <f t="shared" si="3"/>
        <v>-286752631578947.38</v>
      </c>
      <c r="G36">
        <v>1.47</v>
      </c>
    </row>
    <row r="37" spans="1:7" x14ac:dyDescent="0.2">
      <c r="A37">
        <v>26640</v>
      </c>
      <c r="B37">
        <v>9196</v>
      </c>
      <c r="C37" s="6">
        <v>1.75675676</v>
      </c>
      <c r="D37">
        <f t="shared" si="1"/>
        <v>79736842105263.156</v>
      </c>
      <c r="E37">
        <f t="shared" si="3"/>
        <v>-286752631578947.38</v>
      </c>
      <c r="G37">
        <v>1.47</v>
      </c>
    </row>
    <row r="38" spans="1:7" x14ac:dyDescent="0.2">
      <c r="A38">
        <v>27360</v>
      </c>
      <c r="B38">
        <v>9396</v>
      </c>
      <c r="C38" s="6">
        <v>0.90643275000000001</v>
      </c>
      <c r="D38">
        <f t="shared" si="1"/>
        <v>79736842105263.156</v>
      </c>
      <c r="E38">
        <f t="shared" si="3"/>
        <v>-286752631578947.38</v>
      </c>
      <c r="G38">
        <v>1.47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5118F-B32A-BE46-ABD1-E379316112CF}">
  <dimension ref="A1:G23"/>
  <sheetViews>
    <sheetView workbookViewId="0">
      <selection activeCell="F29" sqref="F29"/>
    </sheetView>
  </sheetViews>
  <sheetFormatPr baseColWidth="10" defaultRowHeight="16" x14ac:dyDescent="0.2"/>
  <cols>
    <col min="4" max="4" width="32.33203125" customWidth="1"/>
    <col min="5" max="5" width="27.1640625" customWidth="1"/>
    <col min="6" max="6" width="20.66406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 s="6">
        <v>8760</v>
      </c>
      <c r="C2">
        <v>0</v>
      </c>
      <c r="D2">
        <f>2*10^11*1491/5.32</f>
        <v>56052631578947.367</v>
      </c>
      <c r="E2">
        <f>5*10^11*2005/5.32</f>
        <v>188439849624060.12</v>
      </c>
      <c r="F2">
        <v>1584823814845.6438</v>
      </c>
      <c r="G2">
        <v>1.5</v>
      </c>
    </row>
    <row r="3" spans="1:7" x14ac:dyDescent="0.2">
      <c r="A3">
        <v>450</v>
      </c>
      <c r="B3" s="6">
        <v>8740</v>
      </c>
      <c r="C3">
        <v>0.17555555555555555</v>
      </c>
      <c r="D3">
        <f t="shared" ref="D3:D23" si="0">2*10^11*1491/5.32</f>
        <v>56052631578947.367</v>
      </c>
      <c r="E3">
        <f t="shared" ref="E3:E23" si="1">5*10^11*2005/5.32</f>
        <v>188439849624060.12</v>
      </c>
      <c r="F3">
        <v>1590605949534.1287</v>
      </c>
      <c r="G3">
        <v>1.5</v>
      </c>
    </row>
    <row r="4" spans="1:7" x14ac:dyDescent="0.2">
      <c r="A4">
        <v>810</v>
      </c>
      <c r="B4" s="6">
        <v>8720</v>
      </c>
      <c r="C4">
        <v>4.1975308641975288E-2</v>
      </c>
      <c r="D4">
        <f t="shared" si="0"/>
        <v>56052631578947.367</v>
      </c>
      <c r="E4">
        <f t="shared" si="1"/>
        <v>188439849624060.12</v>
      </c>
      <c r="F4">
        <v>1593100544110.1326</v>
      </c>
      <c r="G4">
        <v>1.5</v>
      </c>
    </row>
    <row r="5" spans="1:7" x14ac:dyDescent="0.2">
      <c r="A5">
        <v>2160</v>
      </c>
      <c r="B5" s="6">
        <v>8700</v>
      </c>
      <c r="C5">
        <v>1.2962962962962933E-2</v>
      </c>
      <c r="D5">
        <f t="shared" si="0"/>
        <v>56052631578947.367</v>
      </c>
      <c r="E5">
        <f t="shared" si="1"/>
        <v>188439849624060.12</v>
      </c>
      <c r="F5">
        <v>1595157668971.6741</v>
      </c>
      <c r="G5">
        <v>1.5</v>
      </c>
    </row>
    <row r="6" spans="1:7" x14ac:dyDescent="0.2">
      <c r="A6">
        <v>2880</v>
      </c>
      <c r="B6" s="6">
        <v>8680</v>
      </c>
      <c r="C6">
        <v>1.4930555555555577E-2</v>
      </c>
      <c r="D6">
        <f t="shared" si="0"/>
        <v>56052631578947.367</v>
      </c>
      <c r="E6">
        <f t="shared" si="1"/>
        <v>188439849624060.12</v>
      </c>
      <c r="F6">
        <v>1598321673130.7415</v>
      </c>
      <c r="G6">
        <v>1.5</v>
      </c>
    </row>
    <row r="7" spans="1:7" x14ac:dyDescent="0.2">
      <c r="A7">
        <v>3600</v>
      </c>
      <c r="B7" s="6">
        <v>8660</v>
      </c>
      <c r="C7">
        <v>2.9722222222222216E-2</v>
      </c>
      <c r="D7">
        <f t="shared" si="0"/>
        <v>56052631578947.367</v>
      </c>
      <c r="E7">
        <f t="shared" si="1"/>
        <v>188439849624060.12</v>
      </c>
      <c r="F7">
        <v>1606220440989.4458</v>
      </c>
      <c r="G7">
        <v>1.5</v>
      </c>
    </row>
    <row r="8" spans="1:7" x14ac:dyDescent="0.2">
      <c r="A8">
        <v>4320</v>
      </c>
      <c r="B8" s="6">
        <v>8640</v>
      </c>
      <c r="C8">
        <v>1.9907407407407405E-2</v>
      </c>
      <c r="D8">
        <f t="shared" si="0"/>
        <v>56052631578947.367</v>
      </c>
      <c r="E8">
        <f t="shared" si="1"/>
        <v>188439849624060.12</v>
      </c>
      <c r="F8">
        <v>1612595487772.8125</v>
      </c>
      <c r="G8">
        <v>1.5</v>
      </c>
    </row>
    <row r="9" spans="1:7" x14ac:dyDescent="0.2">
      <c r="A9">
        <v>5040</v>
      </c>
      <c r="B9" s="6">
        <v>8620</v>
      </c>
      <c r="C9">
        <v>4.0674603174603176E-2</v>
      </c>
      <c r="D9">
        <f t="shared" si="0"/>
        <v>56052631578947.367</v>
      </c>
      <c r="E9">
        <f t="shared" si="1"/>
        <v>188439849624060.12</v>
      </c>
      <c r="F9">
        <v>1624593972606.0127</v>
      </c>
      <c r="G9">
        <v>1.5</v>
      </c>
    </row>
    <row r="10" spans="1:7" x14ac:dyDescent="0.2">
      <c r="A10">
        <v>5760</v>
      </c>
      <c r="B10" s="6">
        <v>8600</v>
      </c>
      <c r="C10">
        <v>6.024305555555555E-2</v>
      </c>
      <c r="D10">
        <f t="shared" si="0"/>
        <v>56052631578947.367</v>
      </c>
      <c r="E10">
        <f t="shared" si="1"/>
        <v>188439849624060.12</v>
      </c>
      <c r="F10">
        <v>1598837299953.0312</v>
      </c>
      <c r="G10">
        <v>1.5</v>
      </c>
    </row>
    <row r="11" spans="1:7" x14ac:dyDescent="0.2">
      <c r="A11">
        <v>8640</v>
      </c>
      <c r="B11" s="6">
        <v>8600</v>
      </c>
      <c r="C11">
        <v>0.77905092592592595</v>
      </c>
      <c r="D11">
        <f t="shared" si="0"/>
        <v>56052631578947.367</v>
      </c>
      <c r="E11">
        <f t="shared" si="1"/>
        <v>188439849624060.12</v>
      </c>
      <c r="F11">
        <v>1168901915919.1504</v>
      </c>
      <c r="G11">
        <v>1.5</v>
      </c>
    </row>
    <row r="12" spans="1:7" x14ac:dyDescent="0.2">
      <c r="A12">
        <v>9360</v>
      </c>
      <c r="B12" s="6">
        <v>8600</v>
      </c>
      <c r="C12">
        <v>0.52350427350427342</v>
      </c>
      <c r="D12">
        <f t="shared" si="0"/>
        <v>56052631578947.367</v>
      </c>
      <c r="E12">
        <f t="shared" si="1"/>
        <v>188439849624060.12</v>
      </c>
      <c r="F12">
        <v>926927499280.14746</v>
      </c>
      <c r="G12">
        <v>1.5</v>
      </c>
    </row>
    <row r="13" spans="1:7" x14ac:dyDescent="0.2">
      <c r="A13">
        <v>10080</v>
      </c>
      <c r="B13" s="6">
        <v>8600</v>
      </c>
      <c r="C13">
        <v>0.69444444444444442</v>
      </c>
      <c r="D13">
        <f t="shared" si="0"/>
        <v>56052631578947.367</v>
      </c>
      <c r="E13">
        <f t="shared" si="1"/>
        <v>188439849624060.12</v>
      </c>
      <c r="F13">
        <v>661532596156.66992</v>
      </c>
      <c r="G13">
        <v>1.5</v>
      </c>
    </row>
    <row r="14" spans="1:7" x14ac:dyDescent="0.2">
      <c r="A14">
        <v>10800</v>
      </c>
      <c r="B14" s="6">
        <v>8700</v>
      </c>
      <c r="C14">
        <v>0.92592592592592582</v>
      </c>
      <c r="D14">
        <f t="shared" si="0"/>
        <v>56052631578947.367</v>
      </c>
      <c r="E14">
        <f t="shared" si="1"/>
        <v>188439849624060.12</v>
      </c>
      <c r="F14">
        <v>403408340475.27869</v>
      </c>
      <c r="G14">
        <v>1.5</v>
      </c>
    </row>
    <row r="15" spans="1:7" x14ac:dyDescent="0.2">
      <c r="A15">
        <v>11160</v>
      </c>
      <c r="B15" s="6">
        <v>8740</v>
      </c>
      <c r="C15">
        <v>0.68548387096774199</v>
      </c>
      <c r="D15">
        <f t="shared" si="0"/>
        <v>56052631578947.367</v>
      </c>
      <c r="E15">
        <f t="shared" si="1"/>
        <v>188439849624060.12</v>
      </c>
      <c r="F15">
        <v>273399054435.28229</v>
      </c>
      <c r="G15">
        <v>1.5</v>
      </c>
    </row>
    <row r="16" spans="1:7" x14ac:dyDescent="0.2">
      <c r="A16">
        <v>11520</v>
      </c>
      <c r="B16" s="6">
        <v>8740</v>
      </c>
      <c r="C16">
        <v>0.63802083333333337</v>
      </c>
      <c r="D16">
        <f t="shared" si="0"/>
        <v>56052631578947.367</v>
      </c>
      <c r="E16">
        <f t="shared" si="1"/>
        <v>188439849624060.12</v>
      </c>
      <c r="F16">
        <v>-348721382397.02118</v>
      </c>
      <c r="G16">
        <v>1.5</v>
      </c>
    </row>
    <row r="17" spans="1:7" x14ac:dyDescent="0.2">
      <c r="A17">
        <v>12960</v>
      </c>
      <c r="B17" s="6">
        <v>8740</v>
      </c>
      <c r="C17">
        <v>2.8395061728395063</v>
      </c>
      <c r="D17">
        <f t="shared" si="0"/>
        <v>56052631578947.367</v>
      </c>
      <c r="E17">
        <f t="shared" si="1"/>
        <v>188439849624060.12</v>
      </c>
      <c r="F17">
        <v>-456217536099.11584</v>
      </c>
      <c r="G17">
        <v>1.5</v>
      </c>
    </row>
    <row r="18" spans="1:7" x14ac:dyDescent="0.2">
      <c r="A18">
        <v>16704</v>
      </c>
      <c r="B18" s="6">
        <v>8740</v>
      </c>
      <c r="C18">
        <v>6.2200670498084287</v>
      </c>
      <c r="D18">
        <f t="shared" si="0"/>
        <v>56052631578947.367</v>
      </c>
      <c r="E18">
        <f t="shared" si="1"/>
        <v>188439849624060.12</v>
      </c>
      <c r="F18">
        <v>-1917639351941.885</v>
      </c>
      <c r="G18">
        <v>1.5</v>
      </c>
    </row>
    <row r="19" spans="1:7" x14ac:dyDescent="0.2">
      <c r="A19">
        <v>18000</v>
      </c>
      <c r="B19" s="6">
        <v>8740</v>
      </c>
      <c r="C19">
        <v>1.8888888888888888</v>
      </c>
      <c r="D19">
        <f t="shared" si="0"/>
        <v>56052631578947.367</v>
      </c>
      <c r="E19">
        <f t="shared" si="1"/>
        <v>188439849624060.12</v>
      </c>
      <c r="F19">
        <v>-2158394532046.8101</v>
      </c>
      <c r="G19">
        <v>1.5</v>
      </c>
    </row>
    <row r="20" spans="1:7" x14ac:dyDescent="0.2">
      <c r="A20">
        <v>18403.2</v>
      </c>
      <c r="B20" s="6">
        <v>8740</v>
      </c>
      <c r="C20">
        <v>0.61402364806120668</v>
      </c>
      <c r="D20">
        <f t="shared" si="0"/>
        <v>56052631578947.367</v>
      </c>
      <c r="E20">
        <f t="shared" si="1"/>
        <v>188439849624060.12</v>
      </c>
      <c r="F20">
        <v>-2277655247853.0205</v>
      </c>
      <c r="G20">
        <v>1.5</v>
      </c>
    </row>
    <row r="21" spans="1:7" x14ac:dyDescent="0.2">
      <c r="A21">
        <v>20016</v>
      </c>
      <c r="B21" s="6">
        <v>8740</v>
      </c>
      <c r="C21">
        <v>2.3031574740207836</v>
      </c>
      <c r="D21">
        <f t="shared" si="0"/>
        <v>56052631578947.367</v>
      </c>
      <c r="E21">
        <f t="shared" si="1"/>
        <v>188439849624060.12</v>
      </c>
      <c r="F21">
        <v>-3052450979865.23</v>
      </c>
      <c r="G21">
        <v>1.5</v>
      </c>
    </row>
    <row r="22" spans="1:7" x14ac:dyDescent="0.2">
      <c r="A22">
        <v>21600</v>
      </c>
      <c r="B22" s="6">
        <v>9180</v>
      </c>
      <c r="C22">
        <v>2.8055555555555554</v>
      </c>
      <c r="D22">
        <f t="shared" si="0"/>
        <v>56052631578947.367</v>
      </c>
      <c r="E22">
        <f t="shared" si="1"/>
        <v>188439849624060.12</v>
      </c>
      <c r="F22">
        <v>-9678474454036.8262</v>
      </c>
      <c r="G22">
        <v>1.5</v>
      </c>
    </row>
    <row r="23" spans="1:7" x14ac:dyDescent="0.2">
      <c r="A23">
        <v>22147.200000000001</v>
      </c>
      <c r="B23" s="6">
        <v>9332</v>
      </c>
      <c r="C23">
        <v>0.3837956942638347</v>
      </c>
      <c r="D23">
        <f t="shared" si="0"/>
        <v>56052631578947.367</v>
      </c>
      <c r="E23">
        <f t="shared" si="1"/>
        <v>188439849624060.12</v>
      </c>
      <c r="F23">
        <v>-34002939745231.457</v>
      </c>
      <c r="G23">
        <v>1.5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E320E-0FE4-5D4A-8C38-B9A7E7FF31E8}">
  <dimension ref="A1:G37"/>
  <sheetViews>
    <sheetView workbookViewId="0">
      <selection sqref="A1:H1"/>
    </sheetView>
  </sheetViews>
  <sheetFormatPr baseColWidth="10" defaultRowHeight="16" x14ac:dyDescent="0.2"/>
  <cols>
    <col min="4" max="4" width="34.1640625" customWidth="1"/>
    <col min="5" max="5" width="25.83203125" customWidth="1"/>
    <col min="6" max="6" width="10.8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8780</v>
      </c>
      <c r="C2">
        <v>0</v>
      </c>
      <c r="D2">
        <f>-5*10^11*674/5.32</f>
        <v>-63345864661654.133</v>
      </c>
      <c r="E2">
        <f>3310/5.32*5810^11</f>
        <v>1.5843598119176228E+44</v>
      </c>
      <c r="F2">
        <v>629021648504.69531</v>
      </c>
      <c r="G2">
        <v>3.01</v>
      </c>
    </row>
    <row r="3" spans="1:7" x14ac:dyDescent="0.2">
      <c r="A3">
        <v>360</v>
      </c>
      <c r="B3">
        <v>8780</v>
      </c>
      <c r="C3">
        <v>-0.11944444444444437</v>
      </c>
      <c r="D3">
        <f t="shared" ref="D3:D37" si="0">-5*10^11*674/5.32</f>
        <v>-63345864661654.133</v>
      </c>
      <c r="E3">
        <f t="shared" ref="E3:E37" si="1">3310/5.32*5810^11</f>
        <v>1.5843598119176228E+44</v>
      </c>
      <c r="F3">
        <v>628853455307.37744</v>
      </c>
      <c r="G3">
        <v>3.01</v>
      </c>
    </row>
    <row r="4" spans="1:7" x14ac:dyDescent="0.2">
      <c r="A4">
        <v>549.9</v>
      </c>
      <c r="B4">
        <v>8760</v>
      </c>
      <c r="C4">
        <v>-7.2740498272413235E-3</v>
      </c>
      <c r="D4">
        <f t="shared" si="0"/>
        <v>-63345864661654.133</v>
      </c>
      <c r="E4">
        <f t="shared" si="1"/>
        <v>1.5843598119176228E+44</v>
      </c>
      <c r="F4">
        <v>628837810766.37952</v>
      </c>
      <c r="G4">
        <v>3.01</v>
      </c>
    </row>
    <row r="5" spans="1:7" x14ac:dyDescent="0.2">
      <c r="A5">
        <v>900</v>
      </c>
      <c r="B5">
        <v>8760</v>
      </c>
      <c r="C5">
        <v>7.8888888888888883E-2</v>
      </c>
      <c r="D5">
        <f t="shared" si="0"/>
        <v>-63345864661654.133</v>
      </c>
      <c r="E5">
        <f t="shared" si="1"/>
        <v>1.5843598119176228E+44</v>
      </c>
      <c r="F5">
        <v>629115535220.55396</v>
      </c>
      <c r="G5">
        <v>3.01</v>
      </c>
    </row>
    <row r="6" spans="1:7" x14ac:dyDescent="0.2">
      <c r="A6">
        <v>1350</v>
      </c>
      <c r="B6">
        <v>8740</v>
      </c>
      <c r="C6">
        <v>3.1851851851851833E-2</v>
      </c>
      <c r="D6">
        <f t="shared" si="0"/>
        <v>-63345864661654.133</v>
      </c>
      <c r="E6">
        <f t="shared" si="1"/>
        <v>1.5843598119176228E+44</v>
      </c>
      <c r="F6">
        <v>629283769422.52466</v>
      </c>
      <c r="G6">
        <v>3.01</v>
      </c>
    </row>
    <row r="7" spans="1:7" x14ac:dyDescent="0.2">
      <c r="A7">
        <v>2880</v>
      </c>
      <c r="B7">
        <v>8720</v>
      </c>
      <c r="C7">
        <v>1.8055555555555557E-2</v>
      </c>
      <c r="D7">
        <f t="shared" si="0"/>
        <v>-63345864661654.133</v>
      </c>
      <c r="E7">
        <f t="shared" si="1"/>
        <v>1.5843598119176228E+44</v>
      </c>
      <c r="F7">
        <v>629487250591.34546</v>
      </c>
      <c r="G7">
        <v>3.01</v>
      </c>
    </row>
    <row r="8" spans="1:7" x14ac:dyDescent="0.2">
      <c r="A8">
        <v>3600</v>
      </c>
      <c r="B8">
        <v>8700</v>
      </c>
      <c r="C8">
        <v>2.3333333333333331E-2</v>
      </c>
      <c r="D8">
        <f t="shared" si="0"/>
        <v>-63345864661654.133</v>
      </c>
      <c r="E8">
        <f t="shared" si="1"/>
        <v>1.5843598119176228E+44</v>
      </c>
      <c r="F8">
        <v>629816032248.76477</v>
      </c>
      <c r="G8">
        <v>3.01</v>
      </c>
    </row>
    <row r="9" spans="1:7" x14ac:dyDescent="0.2">
      <c r="A9">
        <v>4320</v>
      </c>
      <c r="B9">
        <v>8680</v>
      </c>
      <c r="C9">
        <v>2.5925925925925925E-2</v>
      </c>
      <c r="D9">
        <f t="shared" si="0"/>
        <v>-63345864661654.133</v>
      </c>
      <c r="E9">
        <f t="shared" si="1"/>
        <v>1.5843598119176228E+44</v>
      </c>
      <c r="F9">
        <v>630254564044.13953</v>
      </c>
      <c r="G9">
        <v>3.01</v>
      </c>
    </row>
    <row r="10" spans="1:7" x14ac:dyDescent="0.2">
      <c r="A10">
        <v>5040</v>
      </c>
      <c r="B10">
        <v>8660</v>
      </c>
      <c r="C10">
        <v>3.2142857142857147E-2</v>
      </c>
      <c r="D10">
        <f t="shared" si="0"/>
        <v>-63345864661654.133</v>
      </c>
      <c r="E10">
        <f t="shared" si="1"/>
        <v>1.5843598119176228E+44</v>
      </c>
      <c r="F10">
        <v>630810816472.28845</v>
      </c>
      <c r="G10">
        <v>3.01</v>
      </c>
    </row>
    <row r="11" spans="1:7" x14ac:dyDescent="0.2">
      <c r="A11">
        <v>5803.2</v>
      </c>
      <c r="B11">
        <v>8640</v>
      </c>
      <c r="C11">
        <v>3.8082437275985669E-2</v>
      </c>
      <c r="D11">
        <f t="shared" si="0"/>
        <v>-63345864661654.133</v>
      </c>
      <c r="E11">
        <f t="shared" si="1"/>
        <v>1.5843598119176228E+44</v>
      </c>
      <c r="F11">
        <v>629945223952.77039</v>
      </c>
      <c r="G11">
        <v>3.01</v>
      </c>
    </row>
    <row r="12" spans="1:7" x14ac:dyDescent="0.2">
      <c r="A12">
        <v>6480</v>
      </c>
      <c r="B12">
        <v>8620</v>
      </c>
      <c r="C12">
        <v>4.5833333333333337E-2</v>
      </c>
      <c r="D12">
        <f t="shared" si="0"/>
        <v>-63345864661654.133</v>
      </c>
      <c r="E12">
        <f t="shared" si="1"/>
        <v>1.5843598119176228E+44</v>
      </c>
      <c r="F12">
        <v>628783056666.09912</v>
      </c>
      <c r="G12">
        <v>3.01</v>
      </c>
    </row>
    <row r="13" spans="1:7" x14ac:dyDescent="0.2">
      <c r="A13">
        <v>7200</v>
      </c>
      <c r="B13">
        <v>8600</v>
      </c>
      <c r="C13">
        <v>7.4861111111111101E-2</v>
      </c>
      <c r="D13">
        <f t="shared" si="0"/>
        <v>-63345864661654.133</v>
      </c>
      <c r="E13">
        <f t="shared" si="1"/>
        <v>1.5843598119176228E+44</v>
      </c>
      <c r="F13">
        <v>626677144410.37048</v>
      </c>
      <c r="G13">
        <v>3.01</v>
      </c>
    </row>
    <row r="14" spans="1:7" x14ac:dyDescent="0.2">
      <c r="A14">
        <v>7920</v>
      </c>
      <c r="B14">
        <v>8580</v>
      </c>
      <c r="C14">
        <v>0.1082070707070707</v>
      </c>
      <c r="D14">
        <f t="shared" si="0"/>
        <v>-63345864661654.133</v>
      </c>
      <c r="E14">
        <f t="shared" si="1"/>
        <v>1.5843598119176228E+44</v>
      </c>
      <c r="F14">
        <v>623337290375.80701</v>
      </c>
      <c r="G14">
        <v>3.01</v>
      </c>
    </row>
    <row r="15" spans="1:7" x14ac:dyDescent="0.2">
      <c r="A15">
        <v>8640</v>
      </c>
      <c r="B15">
        <v>8580</v>
      </c>
      <c r="C15">
        <v>0.1939814814814815</v>
      </c>
      <c r="D15">
        <f t="shared" si="0"/>
        <v>-63345864661654.133</v>
      </c>
      <c r="E15">
        <f t="shared" si="1"/>
        <v>1.5843598119176228E+44</v>
      </c>
      <c r="F15">
        <v>616835829370.04272</v>
      </c>
      <c r="G15">
        <v>3.01</v>
      </c>
    </row>
    <row r="16" spans="1:7" x14ac:dyDescent="0.2">
      <c r="A16">
        <v>9360</v>
      </c>
      <c r="B16">
        <v>8580</v>
      </c>
      <c r="C16">
        <v>0.22435897435897434</v>
      </c>
      <c r="D16">
        <f t="shared" si="0"/>
        <v>-63345864661654.133</v>
      </c>
      <c r="E16">
        <f t="shared" si="1"/>
        <v>1.5843598119176228E+44</v>
      </c>
      <c r="F16">
        <v>608745840777.05249</v>
      </c>
      <c r="G16">
        <v>3.01</v>
      </c>
    </row>
    <row r="17" spans="1:7" x14ac:dyDescent="0.2">
      <c r="A17">
        <v>10080</v>
      </c>
      <c r="B17">
        <v>8580</v>
      </c>
      <c r="C17">
        <v>0.3968253968253968</v>
      </c>
      <c r="D17">
        <f t="shared" si="0"/>
        <v>-63345864661654.133</v>
      </c>
      <c r="E17">
        <f t="shared" si="1"/>
        <v>1.5843598119176228E+44</v>
      </c>
      <c r="F17">
        <v>593508893712.73743</v>
      </c>
      <c r="G17">
        <v>3.01</v>
      </c>
    </row>
    <row r="18" spans="1:7" x14ac:dyDescent="0.2">
      <c r="A18">
        <v>10800</v>
      </c>
      <c r="B18">
        <v>8580</v>
      </c>
      <c r="C18">
        <v>0.4907407407407407</v>
      </c>
      <c r="D18">
        <f t="shared" si="0"/>
        <v>-63345864661654.133</v>
      </c>
      <c r="E18">
        <f t="shared" si="1"/>
        <v>1.5843598119176228E+44</v>
      </c>
      <c r="F18">
        <v>573667086407.14758</v>
      </c>
      <c r="G18">
        <v>3.01</v>
      </c>
    </row>
    <row r="19" spans="1:7" x14ac:dyDescent="0.2">
      <c r="A19">
        <v>11520</v>
      </c>
      <c r="B19">
        <v>8680</v>
      </c>
      <c r="C19">
        <v>0.95486111111111116</v>
      </c>
      <c r="D19">
        <f t="shared" si="0"/>
        <v>-63345864661654.133</v>
      </c>
      <c r="E19">
        <f t="shared" si="1"/>
        <v>1.5843598119176228E+44</v>
      </c>
      <c r="F19">
        <v>533739449915.79938</v>
      </c>
      <c r="G19">
        <v>3.01</v>
      </c>
    </row>
    <row r="20" spans="1:7" x14ac:dyDescent="0.2">
      <c r="A20">
        <v>12240</v>
      </c>
      <c r="B20">
        <v>8700</v>
      </c>
      <c r="C20">
        <v>1.2254901960784315</v>
      </c>
      <c r="D20">
        <f t="shared" si="0"/>
        <v>-63345864661654.133</v>
      </c>
      <c r="E20">
        <f t="shared" si="1"/>
        <v>1.5843598119176228E+44</v>
      </c>
      <c r="F20">
        <v>481987397553.19763</v>
      </c>
      <c r="G20">
        <v>3.01</v>
      </c>
    </row>
    <row r="21" spans="1:7" x14ac:dyDescent="0.2">
      <c r="A21">
        <v>12960</v>
      </c>
      <c r="B21">
        <v>8700</v>
      </c>
      <c r="C21">
        <v>1.2731481481481481</v>
      </c>
      <c r="D21">
        <f t="shared" si="0"/>
        <v>-63345864661654.133</v>
      </c>
      <c r="E21">
        <f t="shared" si="1"/>
        <v>1.5843598119176228E+44</v>
      </c>
      <c r="F21">
        <v>483238035498.00702</v>
      </c>
      <c r="G21">
        <v>3.01</v>
      </c>
    </row>
    <row r="22" spans="1:7" x14ac:dyDescent="0.2">
      <c r="A22">
        <v>13680</v>
      </c>
      <c r="B22">
        <v>8700</v>
      </c>
      <c r="C22">
        <v>1.3523391812865497</v>
      </c>
      <c r="D22">
        <f t="shared" si="0"/>
        <v>-63345864661654.133</v>
      </c>
      <c r="E22">
        <f t="shared" si="1"/>
        <v>1.5843598119176228E+44</v>
      </c>
      <c r="F22">
        <v>466552820810.41315</v>
      </c>
      <c r="G22">
        <v>3.01</v>
      </c>
    </row>
    <row r="23" spans="1:7" x14ac:dyDescent="0.2">
      <c r="A23">
        <v>14400</v>
      </c>
      <c r="B23">
        <v>8700</v>
      </c>
      <c r="C23">
        <v>1.4930555555555556</v>
      </c>
      <c r="D23">
        <f t="shared" si="0"/>
        <v>-63345864661654.133</v>
      </c>
      <c r="E23">
        <f t="shared" si="1"/>
        <v>1.5843598119176228E+44</v>
      </c>
      <c r="F23">
        <v>446668843932.77856</v>
      </c>
      <c r="G23">
        <v>3.01</v>
      </c>
    </row>
    <row r="24" spans="1:7" x14ac:dyDescent="0.2">
      <c r="A24">
        <v>15120</v>
      </c>
      <c r="B24">
        <v>8700</v>
      </c>
      <c r="C24">
        <v>1.3558201058201058</v>
      </c>
      <c r="D24">
        <f t="shared" si="0"/>
        <v>-63345864661654.133</v>
      </c>
      <c r="E24">
        <f t="shared" si="1"/>
        <v>1.5843598119176228E+44</v>
      </c>
      <c r="F24">
        <v>427167706842.78613</v>
      </c>
      <c r="G24">
        <v>3.01</v>
      </c>
    </row>
    <row r="25" spans="1:7" x14ac:dyDescent="0.2">
      <c r="A25">
        <v>15840</v>
      </c>
      <c r="B25">
        <v>8700</v>
      </c>
      <c r="C25">
        <v>1.3888888888888888</v>
      </c>
      <c r="D25">
        <f t="shared" si="0"/>
        <v>-63345864661654.133</v>
      </c>
      <c r="E25">
        <f t="shared" si="1"/>
        <v>1.5843598119176228E+44</v>
      </c>
      <c r="F25">
        <v>405585147235.20319</v>
      </c>
      <c r="G25">
        <v>3.01</v>
      </c>
    </row>
    <row r="26" spans="1:7" x14ac:dyDescent="0.2">
      <c r="A26">
        <v>16560</v>
      </c>
      <c r="B26">
        <v>8700</v>
      </c>
      <c r="C26">
        <v>1.0567632850241546</v>
      </c>
      <c r="D26">
        <f t="shared" si="0"/>
        <v>-63345864661654.133</v>
      </c>
      <c r="E26">
        <f t="shared" si="1"/>
        <v>1.5843598119176228E+44</v>
      </c>
      <c r="F26">
        <v>-386805586543.82123</v>
      </c>
      <c r="G26">
        <v>3.01</v>
      </c>
    </row>
    <row r="27" spans="1:7" x14ac:dyDescent="0.2">
      <c r="A27">
        <v>17280</v>
      </c>
      <c r="B27">
        <v>8700</v>
      </c>
      <c r="C27">
        <v>1.3078703703703702</v>
      </c>
      <c r="D27">
        <f t="shared" si="0"/>
        <v>-63345864661654.133</v>
      </c>
      <c r="E27">
        <f t="shared" si="1"/>
        <v>1.5843598119176228E+44</v>
      </c>
      <c r="F27">
        <v>-516391126611.76978</v>
      </c>
      <c r="G27">
        <v>3.01</v>
      </c>
    </row>
    <row r="28" spans="1:7" x14ac:dyDescent="0.2">
      <c r="A28">
        <v>18000</v>
      </c>
      <c r="B28">
        <v>8700</v>
      </c>
      <c r="C28">
        <v>0.82777777777777783</v>
      </c>
      <c r="D28">
        <f t="shared" si="0"/>
        <v>-63345864661654.133</v>
      </c>
      <c r="E28">
        <f t="shared" si="1"/>
        <v>1.5843598119176228E+44</v>
      </c>
      <c r="F28">
        <v>-635932288049.77942</v>
      </c>
      <c r="G28">
        <v>3.01</v>
      </c>
    </row>
    <row r="29" spans="1:7" x14ac:dyDescent="0.2">
      <c r="A29">
        <v>18720</v>
      </c>
      <c r="B29">
        <v>8700</v>
      </c>
      <c r="C29">
        <v>0.85470085470085477</v>
      </c>
      <c r="D29">
        <f t="shared" si="0"/>
        <v>-63345864661654.133</v>
      </c>
      <c r="E29">
        <f t="shared" si="1"/>
        <v>1.5843598119176228E+44</v>
      </c>
      <c r="F29">
        <v>-810300664934.09717</v>
      </c>
      <c r="G29">
        <v>3.01</v>
      </c>
    </row>
    <row r="30" spans="1:7" x14ac:dyDescent="0.2">
      <c r="A30">
        <v>19440</v>
      </c>
      <c r="B30">
        <v>8700</v>
      </c>
      <c r="C30">
        <v>0.77160493827160492</v>
      </c>
      <c r="D30">
        <f t="shared" si="0"/>
        <v>-63345864661654.133</v>
      </c>
      <c r="E30">
        <f t="shared" si="1"/>
        <v>1.5843598119176228E+44</v>
      </c>
      <c r="F30">
        <v>-989308352067.59399</v>
      </c>
      <c r="G30">
        <v>3.01</v>
      </c>
    </row>
    <row r="31" spans="1:7" x14ac:dyDescent="0.2">
      <c r="A31">
        <v>20160</v>
      </c>
      <c r="B31">
        <v>8700</v>
      </c>
      <c r="C31">
        <v>0.74404761904761896</v>
      </c>
      <c r="D31">
        <f t="shared" si="0"/>
        <v>-63345864661654.133</v>
      </c>
      <c r="E31">
        <f t="shared" si="1"/>
        <v>1.5843598119176228E+44</v>
      </c>
      <c r="F31">
        <v>-1084974350633.2678</v>
      </c>
      <c r="G31">
        <v>3.01</v>
      </c>
    </row>
    <row r="32" spans="1:7" x14ac:dyDescent="0.2">
      <c r="A32">
        <v>20880</v>
      </c>
      <c r="B32">
        <v>8700</v>
      </c>
      <c r="C32">
        <v>0.62260536398467425</v>
      </c>
      <c r="D32">
        <f t="shared" si="0"/>
        <v>-63345864661654.133</v>
      </c>
      <c r="E32">
        <f t="shared" si="1"/>
        <v>1.5843598119176228E+44</v>
      </c>
      <c r="F32">
        <v>-1184735442313.3157</v>
      </c>
      <c r="G32">
        <v>3.01</v>
      </c>
    </row>
    <row r="33" spans="1:7" x14ac:dyDescent="0.2">
      <c r="A33">
        <v>21888</v>
      </c>
      <c r="B33">
        <v>8700</v>
      </c>
      <c r="C33">
        <v>0.95942982456140358</v>
      </c>
      <c r="D33">
        <f t="shared" si="0"/>
        <v>-63345864661654.133</v>
      </c>
      <c r="E33">
        <f t="shared" si="1"/>
        <v>1.5843598119176228E+44</v>
      </c>
      <c r="F33">
        <v>-1392984930062.9417</v>
      </c>
      <c r="G33">
        <v>3.01</v>
      </c>
    </row>
    <row r="34" spans="1:7" x14ac:dyDescent="0.2">
      <c r="A34">
        <v>24768</v>
      </c>
      <c r="B34">
        <v>9400</v>
      </c>
      <c r="C34">
        <v>2.1317829457364339</v>
      </c>
      <c r="D34">
        <f t="shared" si="0"/>
        <v>-63345864661654.133</v>
      </c>
      <c r="E34">
        <f t="shared" si="1"/>
        <v>1.5843598119176228E+44</v>
      </c>
      <c r="F34">
        <v>-2533694639941.793</v>
      </c>
      <c r="G34">
        <v>3.01</v>
      </c>
    </row>
    <row r="35" spans="1:7" x14ac:dyDescent="0.2">
      <c r="A35">
        <v>25776</v>
      </c>
      <c r="B35">
        <v>9400</v>
      </c>
      <c r="C35">
        <v>0.65564866542520173</v>
      </c>
      <c r="D35">
        <f t="shared" si="0"/>
        <v>-63345864661654.133</v>
      </c>
      <c r="E35">
        <f t="shared" si="1"/>
        <v>1.5843598119176228E+44</v>
      </c>
      <c r="F35">
        <v>-3465033500764.5059</v>
      </c>
      <c r="G35">
        <v>3.01</v>
      </c>
    </row>
    <row r="36" spans="1:7" x14ac:dyDescent="0.2">
      <c r="A36">
        <v>26496</v>
      </c>
      <c r="B36">
        <v>9400</v>
      </c>
      <c r="C36">
        <v>0.51328502415458943</v>
      </c>
      <c r="D36">
        <f t="shared" si="0"/>
        <v>-63345864661654.133</v>
      </c>
      <c r="E36">
        <f t="shared" si="1"/>
        <v>1.5843598119176228E+44</v>
      </c>
      <c r="F36">
        <v>-4957381166448.1035</v>
      </c>
      <c r="G36">
        <v>3.01</v>
      </c>
    </row>
    <row r="37" spans="1:7" x14ac:dyDescent="0.2">
      <c r="A37">
        <v>27360</v>
      </c>
      <c r="B37">
        <v>9400</v>
      </c>
      <c r="C37">
        <v>1.0855263157894737</v>
      </c>
      <c r="D37">
        <f t="shared" si="0"/>
        <v>-63345864661654.133</v>
      </c>
      <c r="E37">
        <f t="shared" si="1"/>
        <v>1.5843598119176228E+44</v>
      </c>
      <c r="F37">
        <v>-12070231732777.158</v>
      </c>
      <c r="G37">
        <v>3.01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1ADBF-0792-1445-A2BB-F401177B3C68}">
  <dimension ref="A1:G36"/>
  <sheetViews>
    <sheetView workbookViewId="0">
      <selection sqref="A1:H1"/>
    </sheetView>
  </sheetViews>
  <sheetFormatPr baseColWidth="10" defaultRowHeight="16" x14ac:dyDescent="0.2"/>
  <cols>
    <col min="3" max="3" width="20.83203125" customWidth="1"/>
    <col min="4" max="4" width="21.1640625" customWidth="1"/>
    <col min="5" max="5" width="20.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0</v>
      </c>
      <c r="C2">
        <v>0</v>
      </c>
      <c r="D2">
        <f>4*10^11*935/5.32</f>
        <v>70300751879699.242</v>
      </c>
      <c r="E2">
        <f>3050*4.6*10^11/5.32</f>
        <v>263721804511278.12</v>
      </c>
      <c r="F2">
        <v>1098246291275.1212</v>
      </c>
      <c r="G2">
        <v>3.7641154330000002</v>
      </c>
    </row>
    <row r="3" spans="1:7" x14ac:dyDescent="0.2">
      <c r="A3">
        <v>450</v>
      </c>
      <c r="B3">
        <v>-0.11944444444444437</v>
      </c>
      <c r="C3">
        <v>0.51555555555555554</v>
      </c>
      <c r="D3">
        <f t="shared" ref="D3:D36" si="0">4*10^11*935/5.32</f>
        <v>70300751879699.242</v>
      </c>
      <c r="E3">
        <f t="shared" ref="E3:E36" si="1">3050*4.6*10^11/5.32</f>
        <v>263721804511278.12</v>
      </c>
      <c r="F3">
        <v>1103562397941.2561</v>
      </c>
      <c r="G3">
        <v>3.7641154330000002</v>
      </c>
    </row>
    <row r="4" spans="1:7" x14ac:dyDescent="0.2">
      <c r="A4">
        <v>900</v>
      </c>
      <c r="B4">
        <v>-7.2740498272413235E-3</v>
      </c>
      <c r="C4">
        <v>0.28999999999999998</v>
      </c>
      <c r="D4">
        <f t="shared" si="0"/>
        <v>70300751879699.242</v>
      </c>
      <c r="E4">
        <f t="shared" si="1"/>
        <v>263721804511278.12</v>
      </c>
      <c r="F4">
        <v>1109570000000</v>
      </c>
      <c r="G4">
        <v>3.7641154330000002</v>
      </c>
    </row>
    <row r="5" spans="1:7" x14ac:dyDescent="0.2">
      <c r="A5">
        <v>1350</v>
      </c>
      <c r="B5">
        <v>7.8888888888888883E-2</v>
      </c>
      <c r="C5">
        <v>0.28740740740740739</v>
      </c>
      <c r="D5">
        <f t="shared" si="0"/>
        <v>70300751879699.242</v>
      </c>
      <c r="E5">
        <f t="shared" si="1"/>
        <v>263721804511278.12</v>
      </c>
      <c r="F5">
        <v>1100649497226.78</v>
      </c>
      <c r="G5">
        <v>3.7641154330000002</v>
      </c>
    </row>
    <row r="6" spans="1:7" x14ac:dyDescent="0.2">
      <c r="A6">
        <v>2880</v>
      </c>
      <c r="B6">
        <v>3.1851851851851833E-2</v>
      </c>
      <c r="C6">
        <v>0.20173611111111109</v>
      </c>
      <c r="D6">
        <f t="shared" si="0"/>
        <v>70300751879699.242</v>
      </c>
      <c r="E6">
        <f t="shared" si="1"/>
        <v>263721804511278.12</v>
      </c>
      <c r="F6">
        <v>1087409417897.1968</v>
      </c>
      <c r="G6">
        <v>3.7641154330000002</v>
      </c>
    </row>
    <row r="7" spans="1:7" x14ac:dyDescent="0.2">
      <c r="A7">
        <v>3600</v>
      </c>
      <c r="B7">
        <v>1.8055555555555557E-2</v>
      </c>
      <c r="C7">
        <v>0.22944444444444445</v>
      </c>
      <c r="D7">
        <f t="shared" si="0"/>
        <v>70300751879699.242</v>
      </c>
      <c r="E7">
        <f t="shared" si="1"/>
        <v>263721804511278.12</v>
      </c>
      <c r="F7">
        <v>1068826832950.9789</v>
      </c>
      <c r="G7">
        <v>3.7641154330000002</v>
      </c>
    </row>
    <row r="8" spans="1:7" x14ac:dyDescent="0.2">
      <c r="A8">
        <v>4320</v>
      </c>
      <c r="B8">
        <v>2.3333333333333331E-2</v>
      </c>
      <c r="C8">
        <v>0.27893518518518517</v>
      </c>
      <c r="D8">
        <f t="shared" si="0"/>
        <v>70300751879699.242</v>
      </c>
      <c r="E8">
        <f t="shared" si="1"/>
        <v>263721804511278.12</v>
      </c>
      <c r="F8">
        <v>1042217742131.517</v>
      </c>
      <c r="G8">
        <v>3.7641154330000002</v>
      </c>
    </row>
    <row r="9" spans="1:7" x14ac:dyDescent="0.2">
      <c r="A9">
        <v>5040</v>
      </c>
      <c r="B9">
        <v>2.5925925925925925E-2</v>
      </c>
      <c r="C9">
        <v>0.2597222222222223</v>
      </c>
      <c r="D9">
        <f t="shared" si="0"/>
        <v>70300751879699.242</v>
      </c>
      <c r="E9">
        <f t="shared" si="1"/>
        <v>263721804511278.12</v>
      </c>
      <c r="F9">
        <v>1013972552014.1459</v>
      </c>
      <c r="G9">
        <v>3.7641154330000002</v>
      </c>
    </row>
    <row r="10" spans="1:7" x14ac:dyDescent="0.2">
      <c r="A10">
        <v>5760</v>
      </c>
      <c r="B10">
        <v>3.2142857142857147E-2</v>
      </c>
      <c r="C10">
        <v>0.44687499999999986</v>
      </c>
      <c r="D10">
        <f t="shared" si="0"/>
        <v>70300751879699.242</v>
      </c>
      <c r="E10">
        <f t="shared" si="1"/>
        <v>263721804511278.12</v>
      </c>
      <c r="F10">
        <v>960384348242.91321</v>
      </c>
      <c r="G10">
        <v>3.7641154330000002</v>
      </c>
    </row>
    <row r="11" spans="1:7" x14ac:dyDescent="0.2">
      <c r="A11">
        <v>6480</v>
      </c>
      <c r="B11">
        <v>3.8082437275985669E-2</v>
      </c>
      <c r="C11">
        <v>0.71250000000000002</v>
      </c>
      <c r="D11">
        <f t="shared" si="0"/>
        <v>70300751879699.242</v>
      </c>
      <c r="E11">
        <f t="shared" si="1"/>
        <v>263721804511278.12</v>
      </c>
      <c r="F11">
        <v>870463885266.22583</v>
      </c>
      <c r="G11">
        <v>3.7641154330000002</v>
      </c>
    </row>
    <row r="12" spans="1:7" x14ac:dyDescent="0.2">
      <c r="A12">
        <v>7920</v>
      </c>
      <c r="B12">
        <v>4.5833333333333337E-2</v>
      </c>
      <c r="C12">
        <v>1.6792929292929293</v>
      </c>
      <c r="D12">
        <f t="shared" si="0"/>
        <v>70300751879699.242</v>
      </c>
      <c r="E12">
        <f t="shared" si="1"/>
        <v>263721804511278.12</v>
      </c>
      <c r="F12">
        <v>651345263162.625</v>
      </c>
      <c r="G12">
        <v>3.7641154330000002</v>
      </c>
    </row>
    <row r="13" spans="1:7" x14ac:dyDescent="0.2">
      <c r="A13">
        <v>8640</v>
      </c>
      <c r="B13">
        <v>7.4861111111111101E-2</v>
      </c>
      <c r="C13">
        <v>1.0069444444444444</v>
      </c>
      <c r="D13">
        <f t="shared" si="0"/>
        <v>70300751879699.242</v>
      </c>
      <c r="E13">
        <f t="shared" si="1"/>
        <v>263721804511278.12</v>
      </c>
      <c r="F13">
        <v>535726815339.26544</v>
      </c>
      <c r="G13">
        <v>3.7641154330000002</v>
      </c>
    </row>
    <row r="14" spans="1:7" x14ac:dyDescent="0.2">
      <c r="A14">
        <v>8827.1999999999989</v>
      </c>
      <c r="B14">
        <v>0.1082070707070707</v>
      </c>
      <c r="C14">
        <v>0.4304875838317927</v>
      </c>
      <c r="D14">
        <f t="shared" si="0"/>
        <v>70300751879699.242</v>
      </c>
      <c r="E14">
        <f t="shared" si="1"/>
        <v>263721804511278.12</v>
      </c>
      <c r="F14">
        <v>491165718254.69336</v>
      </c>
      <c r="G14">
        <v>3.7641154330000002</v>
      </c>
    </row>
    <row r="15" spans="1:7" x14ac:dyDescent="0.2">
      <c r="A15">
        <v>9547.1999999999989</v>
      </c>
      <c r="B15">
        <v>0.1939814814814815</v>
      </c>
      <c r="C15">
        <v>1.4873470755823699</v>
      </c>
      <c r="D15">
        <f t="shared" si="0"/>
        <v>70300751879699.242</v>
      </c>
      <c r="E15">
        <f t="shared" si="1"/>
        <v>263721804511278.12</v>
      </c>
      <c r="F15">
        <v>352073601347.42133</v>
      </c>
      <c r="G15">
        <v>3.7641154330000002</v>
      </c>
    </row>
    <row r="16" spans="1:7" x14ac:dyDescent="0.2">
      <c r="A16">
        <v>10267.199999999999</v>
      </c>
      <c r="B16">
        <v>0.22435897435897434</v>
      </c>
      <c r="C16">
        <v>1.5486208508648904</v>
      </c>
      <c r="D16">
        <f t="shared" si="0"/>
        <v>70300751879699.242</v>
      </c>
      <c r="E16">
        <f t="shared" si="1"/>
        <v>263721804511278.12</v>
      </c>
      <c r="F16">
        <v>435336576127.76752</v>
      </c>
      <c r="G16">
        <v>3.7641154330000002</v>
      </c>
    </row>
    <row r="17" spans="1:7" x14ac:dyDescent="0.2">
      <c r="A17">
        <v>10800</v>
      </c>
      <c r="B17">
        <v>0.3968253968253968</v>
      </c>
      <c r="C17">
        <v>1.1666666666666667</v>
      </c>
      <c r="D17">
        <f t="shared" si="0"/>
        <v>70300751879699.242</v>
      </c>
      <c r="E17">
        <f t="shared" si="1"/>
        <v>263721804511278.12</v>
      </c>
      <c r="F17">
        <v>411603109480.84918</v>
      </c>
      <c r="G17">
        <v>3.7641154330000002</v>
      </c>
    </row>
    <row r="18" spans="1:7" x14ac:dyDescent="0.2">
      <c r="A18">
        <v>11520</v>
      </c>
      <c r="B18">
        <v>0.4907407407407407</v>
      </c>
      <c r="C18">
        <v>1.4670138888888888</v>
      </c>
      <c r="D18">
        <f t="shared" si="0"/>
        <v>70300751879699.242</v>
      </c>
      <c r="E18">
        <f t="shared" si="1"/>
        <v>263721804511278.12</v>
      </c>
      <c r="F18">
        <v>380396907003.08087</v>
      </c>
      <c r="G18">
        <v>3.7641154330000002</v>
      </c>
    </row>
    <row r="19" spans="1:7" x14ac:dyDescent="0.2">
      <c r="A19">
        <v>12240</v>
      </c>
      <c r="B19">
        <v>0.95486111111111116</v>
      </c>
      <c r="C19">
        <v>1.3316993464052287</v>
      </c>
      <c r="D19">
        <f t="shared" si="0"/>
        <v>70300751879699.242</v>
      </c>
      <c r="E19">
        <f t="shared" si="1"/>
        <v>263721804511278.12</v>
      </c>
      <c r="F19">
        <v>350999137741.71008</v>
      </c>
      <c r="G19">
        <v>3.7641154330000002</v>
      </c>
    </row>
    <row r="20" spans="1:7" x14ac:dyDescent="0.2">
      <c r="A20">
        <v>12960</v>
      </c>
      <c r="B20">
        <v>1.2254901960784315</v>
      </c>
      <c r="C20">
        <v>1.1959876543209875</v>
      </c>
      <c r="D20">
        <f t="shared" si="0"/>
        <v>70300751879699.242</v>
      </c>
      <c r="E20">
        <f t="shared" si="1"/>
        <v>263721804511278.12</v>
      </c>
      <c r="F20">
        <v>323703460508.86462</v>
      </c>
      <c r="G20">
        <v>3.7641154330000002</v>
      </c>
    </row>
    <row r="21" spans="1:7" x14ac:dyDescent="0.2">
      <c r="A21">
        <v>14400</v>
      </c>
      <c r="B21">
        <v>1.2731481481481481</v>
      </c>
      <c r="C21">
        <v>2.125</v>
      </c>
      <c r="D21">
        <f t="shared" si="0"/>
        <v>70300751879699.242</v>
      </c>
      <c r="E21">
        <f t="shared" si="1"/>
        <v>263721804511278.12</v>
      </c>
      <c r="F21">
        <v>271790440752.55304</v>
      </c>
      <c r="G21">
        <v>3.7641154330000002</v>
      </c>
    </row>
    <row r="22" spans="1:7" x14ac:dyDescent="0.2">
      <c r="A22">
        <v>15264</v>
      </c>
      <c r="B22">
        <v>1.3523391812865497</v>
      </c>
      <c r="C22">
        <v>1.1202830188679245</v>
      </c>
      <c r="D22">
        <f t="shared" si="0"/>
        <v>70300751879699.242</v>
      </c>
      <c r="E22">
        <f t="shared" si="1"/>
        <v>263721804511278.12</v>
      </c>
      <c r="F22">
        <v>-790038952888.89368</v>
      </c>
      <c r="G22">
        <v>3.7641154330000002</v>
      </c>
    </row>
    <row r="23" spans="1:7" x14ac:dyDescent="0.2">
      <c r="A23">
        <v>15984</v>
      </c>
      <c r="B23">
        <v>1.4930555555555556</v>
      </c>
      <c r="C23">
        <v>0.90090090090090091</v>
      </c>
      <c r="D23">
        <f t="shared" si="0"/>
        <v>70300751879699.242</v>
      </c>
      <c r="E23">
        <f t="shared" si="1"/>
        <v>263721804511278.12</v>
      </c>
      <c r="F23">
        <v>-1376808736757.9094</v>
      </c>
      <c r="G23">
        <v>3.7641154330000002</v>
      </c>
    </row>
    <row r="24" spans="1:7" x14ac:dyDescent="0.2">
      <c r="A24">
        <v>16704</v>
      </c>
      <c r="B24">
        <v>1.3558201058201058</v>
      </c>
      <c r="C24">
        <v>0.7183908045977011</v>
      </c>
      <c r="D24">
        <f t="shared" si="0"/>
        <v>70300751879699.242</v>
      </c>
      <c r="E24">
        <f t="shared" si="1"/>
        <v>263721804511278.12</v>
      </c>
      <c r="F24">
        <v>-2256358379451.3926</v>
      </c>
      <c r="G24">
        <v>3.7641154330000002</v>
      </c>
    </row>
    <row r="25" spans="1:7" x14ac:dyDescent="0.2">
      <c r="A25">
        <v>17424</v>
      </c>
      <c r="B25">
        <v>1.3888888888888888</v>
      </c>
      <c r="C25">
        <v>0.72887970615243336</v>
      </c>
      <c r="D25">
        <f t="shared" si="0"/>
        <v>70300751879699.242</v>
      </c>
      <c r="E25">
        <f t="shared" si="1"/>
        <v>263721804511278.12</v>
      </c>
      <c r="F25">
        <v>-3942194849807.5508</v>
      </c>
      <c r="G25">
        <v>3.7641154330000002</v>
      </c>
    </row>
    <row r="26" spans="1:7" x14ac:dyDescent="0.2">
      <c r="A26">
        <v>18000</v>
      </c>
      <c r="B26">
        <v>1.0567632850241546</v>
      </c>
      <c r="C26">
        <v>0.58333333333333337</v>
      </c>
      <c r="D26">
        <f t="shared" si="0"/>
        <v>70300751879699.242</v>
      </c>
      <c r="E26">
        <f t="shared" si="1"/>
        <v>263721804511278.12</v>
      </c>
      <c r="F26">
        <v>-2963581248593.5864</v>
      </c>
      <c r="G26">
        <v>3.7641154330000002</v>
      </c>
    </row>
    <row r="27" spans="1:7" x14ac:dyDescent="0.2">
      <c r="A27">
        <v>18864</v>
      </c>
      <c r="B27">
        <v>1.3078703703703702</v>
      </c>
      <c r="C27">
        <v>0.75275657336726032</v>
      </c>
      <c r="D27">
        <f t="shared" si="0"/>
        <v>70300751879699.242</v>
      </c>
      <c r="E27">
        <f t="shared" si="1"/>
        <v>263721804511278.12</v>
      </c>
      <c r="F27">
        <v>-3141787582528.1313</v>
      </c>
      <c r="G27">
        <v>3.7641154330000002</v>
      </c>
    </row>
    <row r="28" spans="1:7" x14ac:dyDescent="0.2">
      <c r="A28">
        <v>19656</v>
      </c>
      <c r="B28">
        <v>0.82777777777777783</v>
      </c>
      <c r="C28">
        <v>0.72751322751322745</v>
      </c>
      <c r="D28">
        <f t="shared" si="0"/>
        <v>70300751879699.242</v>
      </c>
      <c r="E28">
        <f t="shared" si="1"/>
        <v>263721804511278.12</v>
      </c>
      <c r="F28">
        <v>-3351350448769.2622</v>
      </c>
      <c r="G28">
        <v>3.7641154330000002</v>
      </c>
    </row>
    <row r="29" spans="1:7" x14ac:dyDescent="0.2">
      <c r="A29">
        <v>20160</v>
      </c>
      <c r="B29">
        <v>0.85470085470085477</v>
      </c>
      <c r="C29">
        <v>0.46130952380952384</v>
      </c>
      <c r="D29">
        <f t="shared" si="0"/>
        <v>70300751879699.242</v>
      </c>
      <c r="E29">
        <f t="shared" si="1"/>
        <v>263721804511278.12</v>
      </c>
      <c r="F29">
        <v>-3507992459880.7695</v>
      </c>
      <c r="G29">
        <v>3.7641154330000002</v>
      </c>
    </row>
    <row r="30" spans="1:7" x14ac:dyDescent="0.2">
      <c r="A30">
        <v>20692.8</v>
      </c>
      <c r="B30">
        <v>0.77160493827160492</v>
      </c>
      <c r="C30">
        <v>0.54125106317173133</v>
      </c>
      <c r="D30">
        <f t="shared" si="0"/>
        <v>70300751879699.242</v>
      </c>
      <c r="E30">
        <f t="shared" si="1"/>
        <v>263721804511278.12</v>
      </c>
      <c r="F30">
        <v>-3723409467617.4448</v>
      </c>
      <c r="G30">
        <v>3.7641154330000002</v>
      </c>
    </row>
    <row r="31" spans="1:7" x14ac:dyDescent="0.2">
      <c r="A31">
        <v>21744</v>
      </c>
      <c r="B31">
        <v>0.74404761904761896</v>
      </c>
      <c r="C31">
        <v>1.1497424576894777</v>
      </c>
      <c r="D31">
        <f t="shared" si="0"/>
        <v>70300751879699.242</v>
      </c>
      <c r="E31">
        <f t="shared" si="1"/>
        <v>263721804511278.12</v>
      </c>
      <c r="F31">
        <v>-4354196206886.9546</v>
      </c>
      <c r="G31">
        <v>3.7641154330000002</v>
      </c>
    </row>
    <row r="32" spans="1:7" x14ac:dyDescent="0.2">
      <c r="A32">
        <v>23040</v>
      </c>
      <c r="B32">
        <v>0.62260536398467425</v>
      </c>
      <c r="C32">
        <v>1.8836805555555554</v>
      </c>
      <c r="D32">
        <f t="shared" si="0"/>
        <v>70300751879699.242</v>
      </c>
      <c r="E32">
        <f t="shared" si="1"/>
        <v>263721804511278.12</v>
      </c>
      <c r="F32">
        <v>-6583497581727.1484</v>
      </c>
      <c r="G32">
        <v>3.7641154330000002</v>
      </c>
    </row>
    <row r="33" spans="1:7" x14ac:dyDescent="0.2">
      <c r="A33">
        <v>23184</v>
      </c>
      <c r="B33">
        <v>0.95942982456140358</v>
      </c>
      <c r="C33">
        <v>0.1984126984126984</v>
      </c>
      <c r="D33">
        <f t="shared" si="0"/>
        <v>70300751879699.242</v>
      </c>
      <c r="E33">
        <f t="shared" si="1"/>
        <v>263721804511278.12</v>
      </c>
      <c r="F33">
        <v>-7018975756704.6572</v>
      </c>
      <c r="G33">
        <v>3.7641154330000002</v>
      </c>
    </row>
    <row r="34" spans="1:7" x14ac:dyDescent="0.2">
      <c r="A34">
        <v>23760</v>
      </c>
      <c r="B34">
        <v>2.1317829457364339</v>
      </c>
      <c r="C34">
        <v>1.6161616161616161</v>
      </c>
      <c r="D34">
        <f t="shared" si="0"/>
        <v>70300751879699.242</v>
      </c>
      <c r="E34">
        <f t="shared" si="1"/>
        <v>263721804511278.12</v>
      </c>
      <c r="F34">
        <v>-24972597258216.102</v>
      </c>
      <c r="G34">
        <v>3.7641154330000002</v>
      </c>
    </row>
    <row r="35" spans="1:7" x14ac:dyDescent="0.2">
      <c r="A35">
        <v>24192</v>
      </c>
      <c r="B35">
        <v>0.65564866542520173</v>
      </c>
      <c r="C35">
        <v>0.14880952380952381</v>
      </c>
      <c r="D35">
        <f t="shared" si="0"/>
        <v>70300751879699.242</v>
      </c>
      <c r="E35">
        <f t="shared" si="1"/>
        <v>263721804511278.12</v>
      </c>
      <c r="F35">
        <v>-42427471391755.797</v>
      </c>
      <c r="G35">
        <v>3.7641154330000002</v>
      </c>
    </row>
    <row r="36" spans="1:7" x14ac:dyDescent="0.2">
      <c r="A36">
        <v>24336</v>
      </c>
      <c r="B36">
        <v>0.51328502415458943</v>
      </c>
      <c r="C36">
        <v>6.9855358316896779E-2</v>
      </c>
      <c r="D36">
        <f t="shared" si="0"/>
        <v>70300751879699.242</v>
      </c>
      <c r="E36">
        <f t="shared" si="1"/>
        <v>263721804511278.12</v>
      </c>
      <c r="F36">
        <v>-58495719082433.953</v>
      </c>
      <c r="G36">
        <v>3.7641154330000002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6794C-A3EF-C244-BBB8-DECE9F08A584}">
  <dimension ref="A1:G27"/>
  <sheetViews>
    <sheetView workbookViewId="0">
      <selection sqref="A1:H1"/>
    </sheetView>
  </sheetViews>
  <sheetFormatPr baseColWidth="10" defaultRowHeight="16" x14ac:dyDescent="0.2"/>
  <cols>
    <col min="4" max="5" width="12.1640625" bestFit="1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8720</v>
      </c>
      <c r="C2">
        <v>0</v>
      </c>
      <c r="D2">
        <f>2010*2*10^11/5.32</f>
        <v>75563909774436.094</v>
      </c>
      <c r="E2">
        <f>1558*2.5*10^11/5.32</f>
        <v>73214285714285.703</v>
      </c>
      <c r="F2">
        <v>802479686997.07642</v>
      </c>
      <c r="G2">
        <v>4.5</v>
      </c>
    </row>
    <row r="3" spans="1:7" x14ac:dyDescent="0.2">
      <c r="A3">
        <v>450</v>
      </c>
      <c r="B3">
        <v>8700</v>
      </c>
      <c r="C3">
        <v>0.39999999999999991</v>
      </c>
      <c r="D3">
        <f t="shared" ref="D3:D27" si="0">2010*2*10^11/5.32</f>
        <v>75563909774436.094</v>
      </c>
      <c r="E3">
        <f t="shared" ref="E3:E27" si="1">1558*2.5*10^11/5.32</f>
        <v>73214285714285.703</v>
      </c>
      <c r="F3">
        <v>804653244775.03931</v>
      </c>
      <c r="G3">
        <v>4.5</v>
      </c>
    </row>
    <row r="4" spans="1:7" x14ac:dyDescent="0.2">
      <c r="A4">
        <v>900</v>
      </c>
      <c r="B4">
        <v>8680</v>
      </c>
      <c r="C4">
        <v>0.30555555555555558</v>
      </c>
      <c r="D4">
        <f t="shared" si="0"/>
        <v>75563909774436.094</v>
      </c>
      <c r="E4">
        <f t="shared" si="1"/>
        <v>73214285714285.703</v>
      </c>
      <c r="F4">
        <v>807376909274.0365</v>
      </c>
      <c r="G4">
        <v>4.5</v>
      </c>
    </row>
    <row r="5" spans="1:7" x14ac:dyDescent="0.2">
      <c r="A5">
        <v>1350</v>
      </c>
      <c r="B5">
        <v>8660</v>
      </c>
      <c r="C5">
        <v>0.43703703703703706</v>
      </c>
      <c r="D5">
        <f t="shared" si="0"/>
        <v>75563909774436.094</v>
      </c>
      <c r="E5">
        <f t="shared" si="1"/>
        <v>73214285714285.703</v>
      </c>
      <c r="F5">
        <v>800250721056.02527</v>
      </c>
      <c r="G5">
        <v>4.5</v>
      </c>
    </row>
    <row r="6" spans="1:7" x14ac:dyDescent="0.2">
      <c r="A6">
        <v>2880</v>
      </c>
      <c r="B6">
        <v>8640</v>
      </c>
      <c r="C6">
        <v>0.24930555555555556</v>
      </c>
      <c r="D6">
        <f t="shared" si="0"/>
        <v>75563909774436.094</v>
      </c>
      <c r="E6">
        <f t="shared" si="1"/>
        <v>73214285714285.703</v>
      </c>
      <c r="F6">
        <v>791647467818.40381</v>
      </c>
      <c r="G6">
        <v>4.5</v>
      </c>
    </row>
    <row r="7" spans="1:7" x14ac:dyDescent="0.2">
      <c r="A7">
        <v>3600</v>
      </c>
      <c r="B7">
        <v>8620</v>
      </c>
      <c r="C7">
        <v>0.40749999999999997</v>
      </c>
      <c r="D7">
        <f t="shared" si="0"/>
        <v>75563909774436.094</v>
      </c>
      <c r="E7">
        <f t="shared" si="1"/>
        <v>73214285714285.703</v>
      </c>
      <c r="F7">
        <v>774302829874.86853</v>
      </c>
      <c r="G7">
        <v>4.5</v>
      </c>
    </row>
    <row r="8" spans="1:7" x14ac:dyDescent="0.2">
      <c r="A8">
        <v>4320</v>
      </c>
      <c r="B8">
        <v>8600</v>
      </c>
      <c r="C8">
        <v>0.5092592592592593</v>
      </c>
      <c r="D8">
        <f t="shared" si="0"/>
        <v>75563909774436.094</v>
      </c>
      <c r="E8">
        <f t="shared" si="1"/>
        <v>73214285714285.703</v>
      </c>
      <c r="F8">
        <v>748870980974.83655</v>
      </c>
      <c r="G8">
        <v>4.5</v>
      </c>
    </row>
    <row r="9" spans="1:7" x14ac:dyDescent="0.2">
      <c r="A9">
        <v>5040</v>
      </c>
      <c r="B9">
        <v>8600</v>
      </c>
      <c r="C9">
        <v>0.81746031746031744</v>
      </c>
      <c r="D9">
        <f t="shared" si="0"/>
        <v>75563909774436.094</v>
      </c>
      <c r="E9">
        <f t="shared" si="1"/>
        <v>73214285714285.703</v>
      </c>
      <c r="F9">
        <v>703068135511.87207</v>
      </c>
      <c r="G9">
        <v>4.5</v>
      </c>
    </row>
    <row r="10" spans="1:7" x14ac:dyDescent="0.2">
      <c r="A10">
        <v>5760</v>
      </c>
      <c r="B10">
        <v>8600</v>
      </c>
      <c r="C10">
        <v>1.2499999999999998</v>
      </c>
      <c r="D10">
        <f t="shared" si="0"/>
        <v>75563909774436.094</v>
      </c>
      <c r="E10">
        <f t="shared" si="1"/>
        <v>73214285714285.703</v>
      </c>
      <c r="F10">
        <v>628493548854.89001</v>
      </c>
      <c r="G10">
        <v>4.5</v>
      </c>
    </row>
    <row r="11" spans="1:7" x14ac:dyDescent="0.2">
      <c r="A11">
        <v>6480</v>
      </c>
      <c r="B11">
        <v>8700</v>
      </c>
      <c r="C11">
        <v>1.3395061728395063</v>
      </c>
      <c r="D11">
        <f t="shared" si="0"/>
        <v>75563909774436.094</v>
      </c>
      <c r="E11">
        <f t="shared" si="1"/>
        <v>73214285714285.703</v>
      </c>
      <c r="F11">
        <v>547259853623.57751</v>
      </c>
      <c r="G11">
        <v>4.5</v>
      </c>
    </row>
    <row r="12" spans="1:7" x14ac:dyDescent="0.2">
      <c r="A12">
        <v>7200</v>
      </c>
      <c r="B12">
        <v>8700</v>
      </c>
      <c r="C12">
        <v>1.8055555555555554</v>
      </c>
      <c r="D12">
        <f t="shared" si="0"/>
        <v>75563909774436.094</v>
      </c>
      <c r="E12">
        <f t="shared" si="1"/>
        <v>73214285714285.703</v>
      </c>
      <c r="F12">
        <v>441707924801.64606</v>
      </c>
      <c r="G12">
        <v>4.5</v>
      </c>
    </row>
    <row r="13" spans="1:7" x14ac:dyDescent="0.2">
      <c r="A13">
        <v>7920</v>
      </c>
      <c r="B13">
        <v>8700</v>
      </c>
      <c r="C13">
        <v>1.893939393939394</v>
      </c>
      <c r="D13">
        <f t="shared" si="0"/>
        <v>75563909774436.094</v>
      </c>
      <c r="E13">
        <f t="shared" si="1"/>
        <v>73214285714285.703</v>
      </c>
      <c r="F13">
        <v>387986200320.59442</v>
      </c>
      <c r="G13">
        <v>4.5</v>
      </c>
    </row>
    <row r="14" spans="1:7" x14ac:dyDescent="0.2">
      <c r="A14">
        <v>8640</v>
      </c>
      <c r="B14">
        <v>8700</v>
      </c>
      <c r="C14">
        <v>2.0023148148148149</v>
      </c>
      <c r="D14">
        <f t="shared" si="0"/>
        <v>75563909774436.094</v>
      </c>
      <c r="E14">
        <f t="shared" si="1"/>
        <v>73214285714285.703</v>
      </c>
      <c r="F14">
        <v>314944529964.84454</v>
      </c>
      <c r="G14">
        <v>4.5</v>
      </c>
    </row>
    <row r="15" spans="1:7" x14ac:dyDescent="0.2">
      <c r="A15">
        <v>9360</v>
      </c>
      <c r="B15">
        <v>8700</v>
      </c>
      <c r="C15">
        <v>1.9551282051282051</v>
      </c>
      <c r="D15">
        <f t="shared" si="0"/>
        <v>75563909774436.094</v>
      </c>
      <c r="E15">
        <f t="shared" si="1"/>
        <v>73214285714285.703</v>
      </c>
      <c r="F15">
        <v>248993983824.26743</v>
      </c>
      <c r="G15">
        <v>4.5</v>
      </c>
    </row>
    <row r="16" spans="1:7" x14ac:dyDescent="0.2">
      <c r="A16">
        <v>10080</v>
      </c>
      <c r="B16">
        <v>8700</v>
      </c>
      <c r="C16">
        <v>1.9246031746031746</v>
      </c>
      <c r="D16">
        <f t="shared" si="0"/>
        <v>75563909774436.094</v>
      </c>
      <c r="E16">
        <f t="shared" si="1"/>
        <v>73214285714285.703</v>
      </c>
      <c r="F16">
        <v>190551671634.22827</v>
      </c>
      <c r="G16">
        <v>4.5</v>
      </c>
    </row>
    <row r="17" spans="1:7" x14ac:dyDescent="0.2">
      <c r="A17">
        <v>12312</v>
      </c>
      <c r="B17">
        <v>8700</v>
      </c>
      <c r="C17">
        <v>5.0438596491228065</v>
      </c>
      <c r="D17">
        <f t="shared" si="0"/>
        <v>75563909774436.094</v>
      </c>
      <c r="E17">
        <f t="shared" si="1"/>
        <v>73214285714285.703</v>
      </c>
      <c r="F17">
        <v>-308072302975.81073</v>
      </c>
      <c r="G17">
        <v>4.5</v>
      </c>
    </row>
    <row r="18" spans="1:7" x14ac:dyDescent="0.2">
      <c r="A18">
        <v>13032</v>
      </c>
      <c r="B18">
        <v>8700</v>
      </c>
      <c r="C18">
        <v>1.4579496623695518</v>
      </c>
      <c r="D18">
        <f t="shared" si="0"/>
        <v>75563909774436.094</v>
      </c>
      <c r="E18">
        <f t="shared" si="1"/>
        <v>73214285714285.703</v>
      </c>
      <c r="F18">
        <v>-515920622806.82886</v>
      </c>
      <c r="G18">
        <v>4.5</v>
      </c>
    </row>
    <row r="19" spans="1:7" x14ac:dyDescent="0.2">
      <c r="A19">
        <v>13752</v>
      </c>
      <c r="B19">
        <v>8700</v>
      </c>
      <c r="C19">
        <v>1.37434554973822</v>
      </c>
      <c r="D19">
        <f t="shared" si="0"/>
        <v>75563909774436.094</v>
      </c>
      <c r="E19">
        <f t="shared" si="1"/>
        <v>73214285714285.703</v>
      </c>
      <c r="F19">
        <v>-705003662755.91992</v>
      </c>
      <c r="G19">
        <v>4.5</v>
      </c>
    </row>
    <row r="20" spans="1:7" x14ac:dyDescent="0.2">
      <c r="A20">
        <v>14400</v>
      </c>
      <c r="B20">
        <v>8700</v>
      </c>
      <c r="C20">
        <v>1.25</v>
      </c>
      <c r="D20">
        <f t="shared" si="0"/>
        <v>75563909774436.094</v>
      </c>
      <c r="E20">
        <f t="shared" si="1"/>
        <v>73214285714285.703</v>
      </c>
      <c r="F20">
        <v>-803317709488.7572</v>
      </c>
      <c r="G20">
        <v>4.5</v>
      </c>
    </row>
    <row r="21" spans="1:7" x14ac:dyDescent="0.2">
      <c r="A21">
        <v>14716.800000000001</v>
      </c>
      <c r="B21">
        <v>8700</v>
      </c>
      <c r="C21">
        <v>0.57757121113285492</v>
      </c>
      <c r="D21">
        <f t="shared" si="0"/>
        <v>75563909774436.094</v>
      </c>
      <c r="E21">
        <f t="shared" si="1"/>
        <v>73214285714285.703</v>
      </c>
      <c r="F21">
        <v>-860008684266.99854</v>
      </c>
      <c r="G21">
        <v>4.5</v>
      </c>
    </row>
    <row r="22" spans="1:7" x14ac:dyDescent="0.2">
      <c r="A22">
        <v>15408</v>
      </c>
      <c r="B22">
        <v>8892</v>
      </c>
      <c r="C22">
        <v>1.1941848390446521</v>
      </c>
      <c r="D22">
        <f t="shared" si="0"/>
        <v>75563909774436.094</v>
      </c>
      <c r="E22">
        <f t="shared" si="1"/>
        <v>73214285714285.703</v>
      </c>
      <c r="F22">
        <v>-1015290687587.561</v>
      </c>
      <c r="G22">
        <v>4.5</v>
      </c>
    </row>
    <row r="23" spans="1:7" x14ac:dyDescent="0.2">
      <c r="A23">
        <v>16128</v>
      </c>
      <c r="B23">
        <v>9092</v>
      </c>
      <c r="C23">
        <v>1.457093253968254</v>
      </c>
      <c r="D23">
        <f t="shared" si="0"/>
        <v>75563909774436.094</v>
      </c>
      <c r="E23">
        <f t="shared" si="1"/>
        <v>73214285714285.703</v>
      </c>
      <c r="F23">
        <v>-1320439874371.2427</v>
      </c>
      <c r="G23">
        <v>4.5</v>
      </c>
    </row>
    <row r="24" spans="1:7" x14ac:dyDescent="0.2">
      <c r="A24">
        <v>16848</v>
      </c>
      <c r="B24">
        <v>9292</v>
      </c>
      <c r="C24">
        <v>1.4897910731244064</v>
      </c>
      <c r="D24">
        <f t="shared" si="0"/>
        <v>75563909774436.094</v>
      </c>
      <c r="E24">
        <f t="shared" si="1"/>
        <v>73214285714285.703</v>
      </c>
      <c r="F24">
        <v>-1947702095903.2312</v>
      </c>
      <c r="G24">
        <v>4.5</v>
      </c>
    </row>
    <row r="25" spans="1:7" x14ac:dyDescent="0.2">
      <c r="A25">
        <v>17568</v>
      </c>
      <c r="B25">
        <v>9492</v>
      </c>
      <c r="C25">
        <v>2.385018214936248</v>
      </c>
      <c r="D25">
        <f t="shared" si="0"/>
        <v>75563909774436.094</v>
      </c>
      <c r="E25">
        <f t="shared" si="1"/>
        <v>73214285714285.703</v>
      </c>
      <c r="F25">
        <v>-9711973240406.6562</v>
      </c>
      <c r="G25">
        <v>4.5</v>
      </c>
    </row>
    <row r="26" spans="1:7" x14ac:dyDescent="0.2">
      <c r="A26">
        <v>18000</v>
      </c>
      <c r="B26">
        <v>9612</v>
      </c>
      <c r="C26">
        <v>0.5</v>
      </c>
      <c r="D26">
        <f t="shared" si="0"/>
        <v>75563909774436.094</v>
      </c>
      <c r="E26">
        <f t="shared" si="1"/>
        <v>73214285714285.703</v>
      </c>
      <c r="F26">
        <v>-64310931354443.82</v>
      </c>
      <c r="G26">
        <v>4.5</v>
      </c>
    </row>
    <row r="27" spans="1:7" x14ac:dyDescent="0.2">
      <c r="A27">
        <v>18432</v>
      </c>
      <c r="B27">
        <v>9732</v>
      </c>
      <c r="C27">
        <v>0.146484375</v>
      </c>
      <c r="D27">
        <f t="shared" si="0"/>
        <v>75563909774436.094</v>
      </c>
      <c r="E27">
        <f t="shared" si="1"/>
        <v>73214285714285.703</v>
      </c>
      <c r="F27">
        <v>-71218514153577.719</v>
      </c>
      <c r="G27">
        <v>4.5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5CABA-669B-984B-B561-6CFB3115925E}">
  <dimension ref="A1:G36"/>
  <sheetViews>
    <sheetView workbookViewId="0">
      <selection sqref="A1:H1"/>
    </sheetView>
  </sheetViews>
  <sheetFormatPr baseColWidth="10" defaultRowHeight="16" x14ac:dyDescent="0.2"/>
  <cols>
    <col min="4" max="4" width="24.1640625" customWidth="1"/>
    <col min="5" max="5" width="26.3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8780</v>
      </c>
      <c r="C2">
        <v>0</v>
      </c>
      <c r="D2">
        <f>2031*8*10^11/5.32</f>
        <v>305413533834586.44</v>
      </c>
      <c r="E2">
        <f>-1*10^12*1931/5.32</f>
        <v>-362969924812030.06</v>
      </c>
      <c r="F2">
        <v>337834740440.38904</v>
      </c>
      <c r="G2">
        <v>4.03</v>
      </c>
    </row>
    <row r="3" spans="1:7" x14ac:dyDescent="0.2">
      <c r="A3">
        <v>900</v>
      </c>
      <c r="B3">
        <v>8780</v>
      </c>
      <c r="C3">
        <v>0.29777777777777781</v>
      </c>
      <c r="D3">
        <f t="shared" ref="D3:D36" si="0">2031*8*10^11/5.32</f>
        <v>305413533834586.44</v>
      </c>
      <c r="E3">
        <f t="shared" ref="E3:E36" si="1">-1*10^12*1931/5.32</f>
        <v>-362969924812030.06</v>
      </c>
      <c r="F3">
        <v>340003396443.30536</v>
      </c>
      <c r="G3">
        <v>5.03</v>
      </c>
    </row>
    <row r="4" spans="1:7" x14ac:dyDescent="0.2">
      <c r="A4">
        <v>1350</v>
      </c>
      <c r="B4">
        <v>8780</v>
      </c>
      <c r="C4">
        <v>0.10740740740740741</v>
      </c>
      <c r="D4">
        <f t="shared" si="0"/>
        <v>305413533834586.44</v>
      </c>
      <c r="E4">
        <f t="shared" si="1"/>
        <v>-362969924812030.06</v>
      </c>
      <c r="F4">
        <v>341181915085.03107</v>
      </c>
      <c r="G4">
        <v>6.03</v>
      </c>
    </row>
    <row r="5" spans="1:7" x14ac:dyDescent="0.2">
      <c r="A5">
        <v>1800</v>
      </c>
      <c r="B5">
        <v>8760</v>
      </c>
      <c r="C5">
        <v>8.1111111111111106E-2</v>
      </c>
      <c r="D5">
        <f t="shared" si="0"/>
        <v>305413533834586.44</v>
      </c>
      <c r="E5">
        <f t="shared" si="1"/>
        <v>-362969924812030.06</v>
      </c>
      <c r="F5">
        <v>341947869229.45752</v>
      </c>
      <c r="G5">
        <v>7.03</v>
      </c>
    </row>
    <row r="6" spans="1:7" x14ac:dyDescent="0.2">
      <c r="A6">
        <v>3600</v>
      </c>
      <c r="B6">
        <v>8740</v>
      </c>
      <c r="C6">
        <v>6.3611111111111118E-2</v>
      </c>
      <c r="D6">
        <f t="shared" si="0"/>
        <v>305413533834586.44</v>
      </c>
      <c r="E6">
        <f t="shared" si="1"/>
        <v>-362969924812030.06</v>
      </c>
      <c r="F6">
        <v>340084556644.51691</v>
      </c>
      <c r="G6">
        <v>8.0299999999999994</v>
      </c>
    </row>
    <row r="7" spans="1:7" x14ac:dyDescent="0.2">
      <c r="A7">
        <v>4320</v>
      </c>
      <c r="B7">
        <v>8720</v>
      </c>
      <c r="C7">
        <v>9.2592592592592601E-2</v>
      </c>
      <c r="D7">
        <f t="shared" si="0"/>
        <v>305413533834586.44</v>
      </c>
      <c r="E7">
        <f t="shared" si="1"/>
        <v>-362969924812030.06</v>
      </c>
      <c r="F7">
        <v>336851617217.94977</v>
      </c>
      <c r="G7">
        <v>9.0299999999999994</v>
      </c>
    </row>
    <row r="8" spans="1:7" x14ac:dyDescent="0.2">
      <c r="A8">
        <v>5040</v>
      </c>
      <c r="B8">
        <v>8700</v>
      </c>
      <c r="C8">
        <v>0.12797619047619049</v>
      </c>
      <c r="D8">
        <f t="shared" si="0"/>
        <v>305413533834586.44</v>
      </c>
      <c r="E8">
        <f t="shared" si="1"/>
        <v>-362969924812030.06</v>
      </c>
      <c r="F8">
        <v>331696319938.79602</v>
      </c>
      <c r="G8">
        <v>10.029999999999999</v>
      </c>
    </row>
    <row r="9" spans="1:7" x14ac:dyDescent="0.2">
      <c r="A9">
        <v>5760</v>
      </c>
      <c r="B9">
        <v>8680</v>
      </c>
      <c r="C9">
        <v>0.16874999999999998</v>
      </c>
      <c r="D9">
        <f t="shared" si="0"/>
        <v>305413533834586.44</v>
      </c>
      <c r="E9">
        <f t="shared" si="1"/>
        <v>-362969924812030.06</v>
      </c>
      <c r="F9">
        <v>324060533955.36255</v>
      </c>
      <c r="G9">
        <v>11.03</v>
      </c>
    </row>
    <row r="10" spans="1:7" x14ac:dyDescent="0.2">
      <c r="A10">
        <v>6480</v>
      </c>
      <c r="B10">
        <v>8660</v>
      </c>
      <c r="C10">
        <v>0.23796296296296299</v>
      </c>
      <c r="D10">
        <f t="shared" si="0"/>
        <v>305413533834586.44</v>
      </c>
      <c r="E10">
        <f t="shared" si="1"/>
        <v>-362969924812030.06</v>
      </c>
      <c r="F10">
        <v>312268872398.08228</v>
      </c>
      <c r="G10">
        <v>12.03</v>
      </c>
    </row>
    <row r="11" spans="1:7" x14ac:dyDescent="0.2">
      <c r="A11">
        <v>7200</v>
      </c>
      <c r="B11">
        <v>8640</v>
      </c>
      <c r="C11">
        <v>0.33277777777777778</v>
      </c>
      <c r="D11">
        <f t="shared" si="0"/>
        <v>305413533834586.44</v>
      </c>
      <c r="E11">
        <f t="shared" si="1"/>
        <v>-362969924812030.06</v>
      </c>
      <c r="F11">
        <v>294706309257.52838</v>
      </c>
      <c r="G11">
        <v>13.03</v>
      </c>
    </row>
    <row r="12" spans="1:7" x14ac:dyDescent="0.2">
      <c r="A12">
        <v>7920</v>
      </c>
      <c r="B12">
        <v>8620</v>
      </c>
      <c r="C12">
        <v>0.45959595959595961</v>
      </c>
      <c r="D12">
        <f t="shared" si="0"/>
        <v>305413533834586.44</v>
      </c>
      <c r="E12">
        <f t="shared" si="1"/>
        <v>-362969924812030.06</v>
      </c>
      <c r="F12">
        <v>269711326834.08304</v>
      </c>
      <c r="G12">
        <v>14.03</v>
      </c>
    </row>
    <row r="13" spans="1:7" x14ac:dyDescent="0.2">
      <c r="A13">
        <v>8640</v>
      </c>
      <c r="B13">
        <v>8600</v>
      </c>
      <c r="C13">
        <v>1.5335648148148149</v>
      </c>
      <c r="D13">
        <f t="shared" si="0"/>
        <v>305413533834586.44</v>
      </c>
      <c r="E13">
        <f t="shared" si="1"/>
        <v>-362969924812030.06</v>
      </c>
      <c r="F13">
        <v>193929331278.42111</v>
      </c>
      <c r="G13">
        <v>15.03</v>
      </c>
    </row>
    <row r="14" spans="1:7" x14ac:dyDescent="0.2">
      <c r="A14">
        <v>9360</v>
      </c>
      <c r="B14">
        <v>8600</v>
      </c>
      <c r="C14">
        <v>1.0897435897435896</v>
      </c>
      <c r="D14">
        <f t="shared" si="0"/>
        <v>305413533834586.44</v>
      </c>
      <c r="E14">
        <f t="shared" si="1"/>
        <v>-362969924812030.06</v>
      </c>
      <c r="F14">
        <v>149222434448.34174</v>
      </c>
      <c r="G14">
        <v>16.03</v>
      </c>
    </row>
    <row r="15" spans="1:7" x14ac:dyDescent="0.2">
      <c r="A15">
        <v>10080</v>
      </c>
      <c r="B15">
        <v>8700</v>
      </c>
      <c r="C15">
        <v>1.2896825396825395</v>
      </c>
      <c r="D15">
        <f t="shared" si="0"/>
        <v>305413533834586.44</v>
      </c>
      <c r="E15">
        <f t="shared" si="1"/>
        <v>-362969924812030.06</v>
      </c>
      <c r="F15">
        <v>105688267697.8243</v>
      </c>
      <c r="G15">
        <v>17.03</v>
      </c>
    </row>
    <row r="16" spans="1:7" x14ac:dyDescent="0.2">
      <c r="A16">
        <v>10800</v>
      </c>
      <c r="B16">
        <v>8700</v>
      </c>
      <c r="C16">
        <v>1.2037037037037037</v>
      </c>
      <c r="D16">
        <f t="shared" si="0"/>
        <v>305413533834586.44</v>
      </c>
      <c r="E16">
        <f t="shared" si="1"/>
        <v>-362969924812030.06</v>
      </c>
      <c r="F16">
        <v>126104691446.63884</v>
      </c>
      <c r="G16">
        <v>18.03</v>
      </c>
    </row>
    <row r="17" spans="1:7" x14ac:dyDescent="0.2">
      <c r="A17">
        <v>11520</v>
      </c>
      <c r="B17">
        <v>8740</v>
      </c>
      <c r="C17">
        <v>1.3888888888888888</v>
      </c>
      <c r="D17">
        <f t="shared" si="0"/>
        <v>305413533834586.44</v>
      </c>
      <c r="E17">
        <f t="shared" si="1"/>
        <v>-362969924812030.06</v>
      </c>
      <c r="F17">
        <v>123460293664.24326</v>
      </c>
      <c r="G17">
        <v>19.03</v>
      </c>
    </row>
    <row r="18" spans="1:7" x14ac:dyDescent="0.2">
      <c r="A18">
        <v>12240</v>
      </c>
      <c r="B18">
        <v>8740</v>
      </c>
      <c r="C18">
        <v>2.0424836601307188</v>
      </c>
      <c r="D18">
        <f t="shared" si="0"/>
        <v>305413533834586.44</v>
      </c>
      <c r="E18">
        <f t="shared" si="1"/>
        <v>-362969924812030.06</v>
      </c>
      <c r="F18">
        <v>119183968944.118</v>
      </c>
      <c r="G18">
        <v>20.03</v>
      </c>
    </row>
    <row r="19" spans="1:7" x14ac:dyDescent="0.2">
      <c r="A19">
        <v>12960</v>
      </c>
      <c r="B19">
        <v>8740</v>
      </c>
      <c r="C19">
        <v>0.46296296296296291</v>
      </c>
      <c r="D19">
        <f t="shared" si="0"/>
        <v>305413533834586.44</v>
      </c>
      <c r="E19">
        <f t="shared" si="1"/>
        <v>-362969924812030.06</v>
      </c>
      <c r="F19">
        <v>118129389158.9949</v>
      </c>
      <c r="G19">
        <v>21.03</v>
      </c>
    </row>
    <row r="20" spans="1:7" x14ac:dyDescent="0.2">
      <c r="A20">
        <v>13680</v>
      </c>
      <c r="B20">
        <v>8740</v>
      </c>
      <c r="C20">
        <v>1.1695906432748537</v>
      </c>
      <c r="D20">
        <f t="shared" si="0"/>
        <v>305413533834586.44</v>
      </c>
      <c r="E20">
        <f t="shared" si="1"/>
        <v>-362969924812030.06</v>
      </c>
      <c r="F20">
        <v>115259286585.98328</v>
      </c>
      <c r="G20">
        <v>22.03</v>
      </c>
    </row>
    <row r="21" spans="1:7" x14ac:dyDescent="0.2">
      <c r="A21">
        <v>14400</v>
      </c>
      <c r="B21">
        <v>8740</v>
      </c>
      <c r="C21">
        <v>1.0694444444444444</v>
      </c>
      <c r="D21">
        <f t="shared" si="0"/>
        <v>305413533834586.44</v>
      </c>
      <c r="E21">
        <f t="shared" si="1"/>
        <v>-362969924812030.06</v>
      </c>
      <c r="F21">
        <v>112411786535.83932</v>
      </c>
      <c r="G21">
        <v>23.03</v>
      </c>
    </row>
    <row r="22" spans="1:7" x14ac:dyDescent="0.2">
      <c r="A22">
        <v>15120</v>
      </c>
      <c r="B22">
        <v>8740</v>
      </c>
      <c r="C22">
        <v>1.0251322751322751</v>
      </c>
      <c r="D22">
        <f t="shared" si="0"/>
        <v>305413533834586.44</v>
      </c>
      <c r="E22">
        <f t="shared" si="1"/>
        <v>-362969924812030.06</v>
      </c>
      <c r="F22">
        <v>109453876956.43594</v>
      </c>
      <c r="G22">
        <v>24.03</v>
      </c>
    </row>
    <row r="23" spans="1:7" x14ac:dyDescent="0.2">
      <c r="A23">
        <v>15840</v>
      </c>
      <c r="B23">
        <v>8740</v>
      </c>
      <c r="C23">
        <v>0.87121212121212133</v>
      </c>
      <c r="D23">
        <f t="shared" si="0"/>
        <v>305413533834586.44</v>
      </c>
      <c r="E23">
        <f t="shared" si="1"/>
        <v>-362969924812030.06</v>
      </c>
      <c r="F23">
        <v>106735627073.19823</v>
      </c>
      <c r="G23">
        <v>25.03</v>
      </c>
    </row>
    <row r="24" spans="1:7" x14ac:dyDescent="0.2">
      <c r="A24">
        <v>16560</v>
      </c>
      <c r="B24">
        <v>8740</v>
      </c>
      <c r="C24">
        <v>0.87560386473429963</v>
      </c>
      <c r="D24">
        <f t="shared" si="0"/>
        <v>305413533834586.44</v>
      </c>
      <c r="E24">
        <f t="shared" si="1"/>
        <v>-362969924812030.06</v>
      </c>
      <c r="F24">
        <v>-184598948482.55133</v>
      </c>
      <c r="G24">
        <v>26.03</v>
      </c>
    </row>
    <row r="25" spans="1:7" x14ac:dyDescent="0.2">
      <c r="A25">
        <v>17568</v>
      </c>
      <c r="B25">
        <v>8740</v>
      </c>
      <c r="C25">
        <v>1.0587431693989071</v>
      </c>
      <c r="D25">
        <f t="shared" si="0"/>
        <v>305413533834586.44</v>
      </c>
      <c r="E25">
        <f t="shared" si="1"/>
        <v>-362969924812030.06</v>
      </c>
      <c r="F25">
        <v>-304589793879.07123</v>
      </c>
      <c r="G25">
        <v>27.03</v>
      </c>
    </row>
    <row r="26" spans="1:7" x14ac:dyDescent="0.2">
      <c r="A26">
        <v>18000</v>
      </c>
      <c r="B26">
        <v>8740</v>
      </c>
      <c r="C26">
        <v>0.41666666666666669</v>
      </c>
      <c r="D26">
        <f t="shared" si="0"/>
        <v>305413533834586.44</v>
      </c>
      <c r="E26">
        <f t="shared" si="1"/>
        <v>-362969924812030.06</v>
      </c>
      <c r="F26">
        <v>-377567913050.56268</v>
      </c>
      <c r="G26">
        <v>28.03</v>
      </c>
    </row>
    <row r="27" spans="1:7" x14ac:dyDescent="0.2">
      <c r="A27">
        <v>18720</v>
      </c>
      <c r="B27">
        <v>8740</v>
      </c>
      <c r="C27">
        <v>0.55555555555555558</v>
      </c>
      <c r="D27">
        <f t="shared" si="0"/>
        <v>305413533834586.44</v>
      </c>
      <c r="E27">
        <f t="shared" si="1"/>
        <v>-362969924812030.06</v>
      </c>
      <c r="F27">
        <v>-515606115380.98315</v>
      </c>
      <c r="G27">
        <v>29.03</v>
      </c>
    </row>
    <row r="28" spans="1:7" x14ac:dyDescent="0.2">
      <c r="A28">
        <v>19440</v>
      </c>
      <c r="B28">
        <v>8740</v>
      </c>
      <c r="C28">
        <v>0.64814814814814814</v>
      </c>
      <c r="D28">
        <f t="shared" si="0"/>
        <v>305413533834586.44</v>
      </c>
      <c r="E28">
        <f t="shared" si="1"/>
        <v>-362969924812030.06</v>
      </c>
      <c r="F28">
        <v>-624385984750.46411</v>
      </c>
      <c r="G28">
        <v>30.03</v>
      </c>
    </row>
    <row r="29" spans="1:7" x14ac:dyDescent="0.2">
      <c r="A29">
        <v>20160</v>
      </c>
      <c r="B29">
        <v>8740</v>
      </c>
      <c r="C29">
        <v>0.51587301587301582</v>
      </c>
      <c r="D29">
        <f t="shared" si="0"/>
        <v>305413533834586.44</v>
      </c>
      <c r="E29">
        <f t="shared" si="1"/>
        <v>-362969924812030.06</v>
      </c>
      <c r="F29">
        <v>-659864047270.82568</v>
      </c>
      <c r="G29">
        <v>31.03</v>
      </c>
    </row>
    <row r="30" spans="1:7" x14ac:dyDescent="0.2">
      <c r="A30">
        <v>20880</v>
      </c>
      <c r="B30">
        <v>8740</v>
      </c>
      <c r="C30">
        <v>0.4885057471264368</v>
      </c>
      <c r="D30">
        <f t="shared" si="0"/>
        <v>305413533834586.44</v>
      </c>
      <c r="E30">
        <f t="shared" si="1"/>
        <v>-362969924812030.06</v>
      </c>
      <c r="F30">
        <v>-699038132531.55225</v>
      </c>
      <c r="G30">
        <v>32.03</v>
      </c>
    </row>
    <row r="31" spans="1:7" x14ac:dyDescent="0.2">
      <c r="A31">
        <v>21744</v>
      </c>
      <c r="B31">
        <v>8740</v>
      </c>
      <c r="C31">
        <v>0.60706401766004414</v>
      </c>
      <c r="D31">
        <f t="shared" si="0"/>
        <v>305413533834586.44</v>
      </c>
      <c r="E31">
        <f t="shared" si="1"/>
        <v>-362969924812030.06</v>
      </c>
      <c r="F31">
        <v>-757643700227.23132</v>
      </c>
      <c r="G31">
        <v>33.03</v>
      </c>
    </row>
    <row r="32" spans="1:7" x14ac:dyDescent="0.2">
      <c r="A32">
        <v>22320</v>
      </c>
      <c r="B32">
        <v>8740</v>
      </c>
      <c r="C32">
        <v>0.47043010752688175</v>
      </c>
      <c r="D32">
        <f t="shared" si="0"/>
        <v>305413533834586.44</v>
      </c>
      <c r="E32">
        <f t="shared" si="1"/>
        <v>-362969924812030.06</v>
      </c>
      <c r="F32">
        <v>-812213507598.97913</v>
      </c>
      <c r="G32">
        <v>34.03</v>
      </c>
    </row>
    <row r="33" spans="1:7" x14ac:dyDescent="0.2">
      <c r="A33">
        <v>23040</v>
      </c>
      <c r="B33">
        <v>8740</v>
      </c>
      <c r="C33">
        <v>0.56857638888888884</v>
      </c>
      <c r="D33">
        <f t="shared" si="0"/>
        <v>305413533834586.44</v>
      </c>
      <c r="E33">
        <f t="shared" si="1"/>
        <v>-362969924812030.06</v>
      </c>
      <c r="F33">
        <v>-893122702679.02893</v>
      </c>
      <c r="G33">
        <v>35.03</v>
      </c>
    </row>
    <row r="34" spans="1:7" x14ac:dyDescent="0.2">
      <c r="A34">
        <v>25200</v>
      </c>
      <c r="B34">
        <v>9340</v>
      </c>
      <c r="C34">
        <v>2.1587301587301591</v>
      </c>
      <c r="D34">
        <f t="shared" si="0"/>
        <v>305413533834586.44</v>
      </c>
      <c r="E34">
        <f t="shared" si="1"/>
        <v>-362969924812030.06</v>
      </c>
      <c r="F34">
        <v>-1556209049932.6196</v>
      </c>
      <c r="G34">
        <v>36.03</v>
      </c>
    </row>
    <row r="35" spans="1:7" x14ac:dyDescent="0.2">
      <c r="A35">
        <v>26352</v>
      </c>
      <c r="B35">
        <v>9660</v>
      </c>
      <c r="C35">
        <v>2.3755312689738921</v>
      </c>
      <c r="D35">
        <f t="shared" si="0"/>
        <v>305413533834586.44</v>
      </c>
      <c r="E35">
        <f t="shared" si="1"/>
        <v>-362969924812030.06</v>
      </c>
      <c r="F35">
        <v>-35218533969407.398</v>
      </c>
      <c r="G35">
        <v>37.03</v>
      </c>
    </row>
    <row r="36" spans="1:7" x14ac:dyDescent="0.2">
      <c r="A36">
        <v>26640</v>
      </c>
      <c r="B36">
        <v>9740</v>
      </c>
      <c r="C36">
        <v>5.6306306306306307E-2</v>
      </c>
      <c r="D36">
        <f t="shared" si="0"/>
        <v>305413533834586.44</v>
      </c>
      <c r="E36">
        <f t="shared" si="1"/>
        <v>-362969924812030.06</v>
      </c>
      <c r="F36">
        <v>-44180591466753.125</v>
      </c>
      <c r="G36">
        <v>38.03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C546-F9B2-E542-82F7-ADD58698DF28}">
  <dimension ref="A1:G30"/>
  <sheetViews>
    <sheetView workbookViewId="0">
      <selection activeCell="F23" sqref="F23"/>
    </sheetView>
  </sheetViews>
  <sheetFormatPr baseColWidth="10" defaultRowHeight="16" x14ac:dyDescent="0.2"/>
  <cols>
    <col min="4" max="4" width="22" customWidth="1"/>
    <col min="5" max="5" width="21" customWidth="1"/>
    <col min="6" max="6" width="18.16406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 s="6">
        <v>0</v>
      </c>
      <c r="B2">
        <v>8720</v>
      </c>
      <c r="C2">
        <v>0</v>
      </c>
      <c r="D2">
        <v>0</v>
      </c>
      <c r="E2">
        <f>3460*2*10^12</f>
        <v>6920000000000000</v>
      </c>
      <c r="F2" s="3">
        <v>-801643144010.24805</v>
      </c>
      <c r="G2">
        <v>0</v>
      </c>
    </row>
    <row r="3" spans="1:7" x14ac:dyDescent="0.2">
      <c r="A3" s="6">
        <v>450</v>
      </c>
      <c r="B3">
        <v>8700</v>
      </c>
      <c r="C3">
        <v>0.4244444444444444</v>
      </c>
      <c r="D3">
        <v>0</v>
      </c>
      <c r="E3">
        <f t="shared" ref="E3:E30" si="0">3460*2*10^12</f>
        <v>6920000000000000</v>
      </c>
      <c r="F3" s="3">
        <v>-800600304232.5531</v>
      </c>
      <c r="G3">
        <v>0</v>
      </c>
    </row>
    <row r="4" spans="1:7" x14ac:dyDescent="0.2">
      <c r="A4" s="6">
        <v>900</v>
      </c>
      <c r="B4">
        <v>8680</v>
      </c>
      <c r="C4">
        <v>0.25333333333333335</v>
      </c>
      <c r="D4">
        <v>0</v>
      </c>
      <c r="E4">
        <f t="shared" si="0"/>
        <v>6920000000000000</v>
      </c>
      <c r="F4" s="3">
        <v>-799357981912.62</v>
      </c>
      <c r="G4">
        <v>0</v>
      </c>
    </row>
    <row r="5" spans="1:7" x14ac:dyDescent="0.2">
      <c r="A5" s="6">
        <v>1350</v>
      </c>
      <c r="B5">
        <v>8660</v>
      </c>
      <c r="C5">
        <v>0.29481481481481486</v>
      </c>
      <c r="D5">
        <v>0</v>
      </c>
      <c r="E5">
        <f t="shared" si="0"/>
        <v>6920000000000000</v>
      </c>
      <c r="F5" s="3">
        <v>-800087785065.47034</v>
      </c>
      <c r="G5">
        <v>0</v>
      </c>
    </row>
    <row r="6" spans="1:7" x14ac:dyDescent="0.2">
      <c r="A6" s="6">
        <v>2880</v>
      </c>
      <c r="B6">
        <v>8640</v>
      </c>
      <c r="C6">
        <v>0.18263888888888888</v>
      </c>
      <c r="D6">
        <v>0</v>
      </c>
      <c r="E6">
        <f t="shared" si="0"/>
        <v>6920000000000000</v>
      </c>
      <c r="F6" s="3">
        <v>-802961747268.05969</v>
      </c>
      <c r="G6">
        <v>0</v>
      </c>
    </row>
    <row r="7" spans="1:7" x14ac:dyDescent="0.2">
      <c r="A7" s="6">
        <v>3600</v>
      </c>
      <c r="B7">
        <v>8620</v>
      </c>
      <c r="C7">
        <v>0.16833333333333336</v>
      </c>
      <c r="D7">
        <v>0</v>
      </c>
      <c r="E7">
        <f t="shared" si="0"/>
        <v>6920000000000000</v>
      </c>
      <c r="F7" s="3">
        <v>-806291115483.05505</v>
      </c>
      <c r="G7">
        <v>0</v>
      </c>
    </row>
    <row r="8" spans="1:7" x14ac:dyDescent="0.2">
      <c r="A8" s="6">
        <v>4320</v>
      </c>
      <c r="B8">
        <v>8600</v>
      </c>
      <c r="C8">
        <v>0.2951388888888889</v>
      </c>
      <c r="D8">
        <v>0</v>
      </c>
      <c r="E8">
        <f t="shared" si="0"/>
        <v>6920000000000000</v>
      </c>
      <c r="F8" s="3">
        <v>-813360611942.81409</v>
      </c>
      <c r="G8">
        <v>0</v>
      </c>
    </row>
    <row r="9" spans="1:7" x14ac:dyDescent="0.2">
      <c r="A9" s="6">
        <v>5040</v>
      </c>
      <c r="B9">
        <v>8600</v>
      </c>
      <c r="C9">
        <v>0.50892857142857151</v>
      </c>
      <c r="D9">
        <v>0</v>
      </c>
      <c r="E9">
        <f t="shared" si="0"/>
        <v>6920000000000000</v>
      </c>
      <c r="F9" s="3">
        <v>-827853300119.76587</v>
      </c>
      <c r="G9">
        <v>0</v>
      </c>
    </row>
    <row r="10" spans="1:7" x14ac:dyDescent="0.2">
      <c r="A10" s="6">
        <v>5760</v>
      </c>
      <c r="B10">
        <v>8600</v>
      </c>
      <c r="C10">
        <v>0.86145833333333333</v>
      </c>
      <c r="D10">
        <v>0</v>
      </c>
      <c r="E10">
        <f t="shared" si="0"/>
        <v>6920000000000000</v>
      </c>
      <c r="F10" s="3">
        <v>-856954692461.70862</v>
      </c>
      <c r="G10">
        <v>0</v>
      </c>
    </row>
    <row r="11" spans="1:7" x14ac:dyDescent="0.2">
      <c r="A11" s="6">
        <v>6480</v>
      </c>
      <c r="B11">
        <v>8600</v>
      </c>
      <c r="C11">
        <v>1.257716049382716</v>
      </c>
      <c r="D11">
        <v>0</v>
      </c>
      <c r="E11">
        <f t="shared" si="0"/>
        <v>6920000000000000</v>
      </c>
      <c r="F11" s="3">
        <v>-908016193674.18347</v>
      </c>
      <c r="G11">
        <v>0</v>
      </c>
    </row>
    <row r="12" spans="1:7" x14ac:dyDescent="0.2">
      <c r="A12" s="6">
        <v>6912</v>
      </c>
      <c r="B12">
        <v>8700</v>
      </c>
      <c r="C12">
        <v>1.0199652777777779</v>
      </c>
      <c r="D12">
        <v>0</v>
      </c>
      <c r="E12">
        <f t="shared" si="0"/>
        <v>6920000000000000</v>
      </c>
      <c r="F12" s="3">
        <v>-955762179831.97778</v>
      </c>
      <c r="G12">
        <v>0</v>
      </c>
    </row>
    <row r="13" spans="1:7" x14ac:dyDescent="0.2">
      <c r="A13" s="6">
        <v>7200</v>
      </c>
      <c r="B13">
        <v>8700</v>
      </c>
      <c r="C13">
        <v>0.81944444444444453</v>
      </c>
      <c r="D13">
        <v>0</v>
      </c>
      <c r="E13">
        <f t="shared" si="0"/>
        <v>6920000000000000</v>
      </c>
      <c r="F13" s="3">
        <v>-998522254615.76782</v>
      </c>
      <c r="G13">
        <v>0</v>
      </c>
    </row>
    <row r="14" spans="1:7" x14ac:dyDescent="0.2">
      <c r="A14" s="6">
        <v>7632</v>
      </c>
      <c r="B14">
        <v>8740</v>
      </c>
      <c r="C14">
        <v>1.257861635220126</v>
      </c>
      <c r="D14">
        <v>0</v>
      </c>
      <c r="E14">
        <f t="shared" si="0"/>
        <v>6920000000000000</v>
      </c>
      <c r="F14" s="3">
        <v>-1074153875765.2429</v>
      </c>
      <c r="G14">
        <v>0</v>
      </c>
    </row>
    <row r="15" spans="1:7" x14ac:dyDescent="0.2">
      <c r="A15" s="6">
        <v>7948.8</v>
      </c>
      <c r="B15">
        <v>8740</v>
      </c>
      <c r="C15">
        <v>0.91837761674718188</v>
      </c>
      <c r="D15">
        <v>0</v>
      </c>
      <c r="E15">
        <f t="shared" si="0"/>
        <v>6920000000000000</v>
      </c>
      <c r="F15" s="3">
        <v>-1165958323518.6531</v>
      </c>
      <c r="G15">
        <v>0</v>
      </c>
    </row>
    <row r="16" spans="1:7" x14ac:dyDescent="0.2">
      <c r="A16" s="6">
        <v>8668.7999999999993</v>
      </c>
      <c r="B16">
        <v>8740</v>
      </c>
      <c r="C16">
        <v>2.1340900701365815</v>
      </c>
      <c r="D16">
        <v>0</v>
      </c>
      <c r="E16">
        <f t="shared" si="0"/>
        <v>6920000000000000</v>
      </c>
      <c r="F16" s="3">
        <v>-1444068481655.7876</v>
      </c>
      <c r="G16">
        <v>0</v>
      </c>
    </row>
    <row r="17" spans="1:7" x14ac:dyDescent="0.2">
      <c r="A17" s="6">
        <v>9388.7999999999993</v>
      </c>
      <c r="B17">
        <v>8740</v>
      </c>
      <c r="C17">
        <v>2.0662917518745738</v>
      </c>
      <c r="D17">
        <v>0</v>
      </c>
      <c r="E17">
        <f t="shared" si="0"/>
        <v>6920000000000000</v>
      </c>
      <c r="F17" s="3">
        <v>-1836225287999.481</v>
      </c>
      <c r="G17">
        <v>0</v>
      </c>
    </row>
    <row r="18" spans="1:7" x14ac:dyDescent="0.2">
      <c r="A18" s="6">
        <v>11088</v>
      </c>
      <c r="B18">
        <v>8740</v>
      </c>
      <c r="C18">
        <v>3.9231601731601726</v>
      </c>
      <c r="D18">
        <v>0</v>
      </c>
      <c r="E18">
        <f t="shared" si="0"/>
        <v>6920000000000000</v>
      </c>
      <c r="F18" s="3">
        <v>-3229636278062.7749</v>
      </c>
      <c r="G18">
        <v>0</v>
      </c>
    </row>
    <row r="19" spans="1:7" x14ac:dyDescent="0.2">
      <c r="A19" s="6">
        <v>12960</v>
      </c>
      <c r="B19">
        <v>8740</v>
      </c>
      <c r="C19">
        <v>3.2021604938271606</v>
      </c>
      <c r="D19">
        <v>0</v>
      </c>
      <c r="E19">
        <f t="shared" si="0"/>
        <v>6920000000000000</v>
      </c>
      <c r="F19">
        <v>-5132479511341.7754</v>
      </c>
      <c r="G19">
        <v>0</v>
      </c>
    </row>
    <row r="20" spans="1:7" x14ac:dyDescent="0.2">
      <c r="A20" s="6">
        <v>14400</v>
      </c>
      <c r="B20">
        <v>8740</v>
      </c>
      <c r="C20">
        <v>2.1458333333333335</v>
      </c>
      <c r="D20">
        <v>0</v>
      </c>
      <c r="E20">
        <f t="shared" si="0"/>
        <v>6920000000000000</v>
      </c>
      <c r="F20">
        <v>-6275882411511.167</v>
      </c>
      <c r="G20">
        <v>0</v>
      </c>
    </row>
    <row r="21" spans="1:7" x14ac:dyDescent="0.2">
      <c r="A21" s="6">
        <v>15120</v>
      </c>
      <c r="B21">
        <v>8740</v>
      </c>
      <c r="C21">
        <v>0.92592592592592582</v>
      </c>
      <c r="D21">
        <v>0</v>
      </c>
      <c r="E21">
        <f t="shared" si="0"/>
        <v>6920000000000000</v>
      </c>
      <c r="F21">
        <v>-6576430237006.4863</v>
      </c>
      <c r="G21">
        <v>0</v>
      </c>
    </row>
    <row r="22" spans="1:7" x14ac:dyDescent="0.2">
      <c r="A22" s="6">
        <v>15811.2</v>
      </c>
      <c r="B22">
        <v>8740</v>
      </c>
      <c r="C22">
        <v>0.88544828981987467</v>
      </c>
      <c r="D22">
        <v>0</v>
      </c>
      <c r="E22">
        <f t="shared" si="0"/>
        <v>6920000000000000</v>
      </c>
      <c r="F22">
        <v>-6928912607963.9893</v>
      </c>
      <c r="G22">
        <v>0</v>
      </c>
    </row>
    <row r="23" spans="1:7" x14ac:dyDescent="0.2">
      <c r="A23" s="6">
        <v>15840</v>
      </c>
      <c r="B23">
        <v>8748</v>
      </c>
      <c r="C23">
        <v>4.4191919191919192E-2</v>
      </c>
      <c r="D23">
        <v>0</v>
      </c>
      <c r="E23">
        <f t="shared" si="0"/>
        <v>6920000000000000</v>
      </c>
      <c r="F23">
        <v>-6948177899147.5479</v>
      </c>
      <c r="G23">
        <v>0</v>
      </c>
    </row>
    <row r="24" spans="1:7" x14ac:dyDescent="0.2">
      <c r="A24" s="6">
        <v>17280</v>
      </c>
      <c r="B24">
        <v>9148</v>
      </c>
      <c r="C24">
        <v>2.0138888888888888</v>
      </c>
      <c r="D24">
        <v>0</v>
      </c>
      <c r="E24">
        <f t="shared" si="0"/>
        <v>6920000000000000</v>
      </c>
      <c r="F24">
        <v>-8198536014183.3633</v>
      </c>
      <c r="G24">
        <v>0</v>
      </c>
    </row>
    <row r="25" spans="1:7" x14ac:dyDescent="0.2">
      <c r="A25" s="6">
        <v>18000</v>
      </c>
      <c r="B25">
        <v>9348</v>
      </c>
      <c r="C25">
        <v>1.0944444444444443</v>
      </c>
      <c r="D25">
        <v>0</v>
      </c>
      <c r="E25">
        <f t="shared" si="0"/>
        <v>6920000000000000</v>
      </c>
      <c r="F25">
        <v>-9340608606015.5195</v>
      </c>
      <c r="G25">
        <v>0</v>
      </c>
    </row>
    <row r="26" spans="1:7" x14ac:dyDescent="0.2">
      <c r="A26" s="6">
        <v>18720</v>
      </c>
      <c r="B26">
        <v>9548</v>
      </c>
      <c r="C26">
        <v>1.1591880341880343</v>
      </c>
      <c r="D26">
        <v>0</v>
      </c>
      <c r="E26">
        <f t="shared" si="0"/>
        <v>6920000000000000</v>
      </c>
      <c r="F26">
        <v>-11501837748886.9</v>
      </c>
      <c r="G26">
        <v>0</v>
      </c>
    </row>
    <row r="27" spans="1:7" x14ac:dyDescent="0.2">
      <c r="A27" s="6">
        <v>19440</v>
      </c>
      <c r="B27">
        <v>9748</v>
      </c>
      <c r="C27">
        <v>1.4763374485596708</v>
      </c>
      <c r="D27">
        <v>0</v>
      </c>
      <c r="E27">
        <f t="shared" si="0"/>
        <v>6920000000000000</v>
      </c>
      <c r="F27">
        <v>-22631475428071.168</v>
      </c>
      <c r="G27">
        <v>0</v>
      </c>
    </row>
    <row r="28" spans="1:7" x14ac:dyDescent="0.2">
      <c r="A28" s="6">
        <v>19872</v>
      </c>
      <c r="B28">
        <v>9868</v>
      </c>
      <c r="C28">
        <v>0.34722222222222221</v>
      </c>
      <c r="D28">
        <v>0</v>
      </c>
      <c r="E28">
        <f t="shared" si="0"/>
        <v>6920000000000000</v>
      </c>
      <c r="F28">
        <v>-38684505350299.75</v>
      </c>
      <c r="G28">
        <v>0</v>
      </c>
    </row>
    <row r="29" spans="1:7" x14ac:dyDescent="0.2">
      <c r="A29" s="6">
        <v>20160</v>
      </c>
      <c r="B29">
        <v>9948</v>
      </c>
      <c r="C29">
        <v>6.4484126984126977E-2</v>
      </c>
      <c r="D29">
        <v>0</v>
      </c>
      <c r="E29">
        <f t="shared" si="0"/>
        <v>6920000000000000</v>
      </c>
      <c r="F29">
        <v>-53824312489768.586</v>
      </c>
      <c r="G29">
        <v>0</v>
      </c>
    </row>
    <row r="30" spans="1:7" x14ac:dyDescent="0.2">
      <c r="A30" s="6">
        <v>20304</v>
      </c>
      <c r="B30">
        <v>9988</v>
      </c>
      <c r="C30">
        <v>3.9401103230890466E-2</v>
      </c>
      <c r="D30">
        <v>0</v>
      </c>
      <c r="E30">
        <f t="shared" si="0"/>
        <v>6920000000000000</v>
      </c>
      <c r="F30">
        <v>-88243567179318.156</v>
      </c>
      <c r="G30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B94B8-09EB-914C-8523-0A282CF29B64}">
  <dimension ref="A1:G25"/>
  <sheetViews>
    <sheetView topLeftCell="C1" workbookViewId="0">
      <selection activeCell="G2" sqref="G2:G25"/>
    </sheetView>
  </sheetViews>
  <sheetFormatPr baseColWidth="10" defaultRowHeight="16" x14ac:dyDescent="0.2"/>
  <cols>
    <col min="4" max="4" width="29.83203125" customWidth="1"/>
    <col min="5" max="5" width="32.1640625" customWidth="1"/>
    <col min="6" max="6" width="18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 s="6">
        <v>8840</v>
      </c>
      <c r="C2">
        <v>0</v>
      </c>
      <c r="D2">
        <f>2091*2*10^11/5.32</f>
        <v>78609022556390.969</v>
      </c>
      <c r="E2">
        <f>1147*2*10^11/5.32</f>
        <v>43120300751879.695</v>
      </c>
      <c r="F2" s="4">
        <v>1569510000000</v>
      </c>
      <c r="G2">
        <v>2.25</v>
      </c>
    </row>
    <row r="3" spans="1:7" x14ac:dyDescent="0.2">
      <c r="A3">
        <v>1440</v>
      </c>
      <c r="B3" s="6">
        <v>8720</v>
      </c>
      <c r="C3">
        <v>0.10416666666666667</v>
      </c>
      <c r="D3">
        <f t="shared" ref="D3:D25" si="0">2091*2*10^11/5.32</f>
        <v>78609022556390.969</v>
      </c>
      <c r="E3">
        <f t="shared" ref="E3:E25" si="1">1147*2*10^11/5.32</f>
        <v>43120300751879.695</v>
      </c>
      <c r="F3" s="4">
        <v>1570840000000</v>
      </c>
      <c r="G3">
        <v>2.25</v>
      </c>
    </row>
    <row r="4" spans="1:7" x14ac:dyDescent="0.2">
      <c r="A4">
        <v>2160</v>
      </c>
      <c r="B4" s="6">
        <v>8700</v>
      </c>
      <c r="C4">
        <v>4.3055555555555562E-2</v>
      </c>
      <c r="D4">
        <f t="shared" si="0"/>
        <v>78609022556390.969</v>
      </c>
      <c r="E4">
        <f t="shared" si="1"/>
        <v>43120300751879.695</v>
      </c>
      <c r="F4" s="4">
        <v>1575510000000</v>
      </c>
      <c r="G4">
        <v>2.25</v>
      </c>
    </row>
    <row r="5" spans="1:7" x14ac:dyDescent="0.2">
      <c r="A5">
        <v>2520</v>
      </c>
      <c r="B5" s="6">
        <v>8680</v>
      </c>
      <c r="C5">
        <v>1.7857142857142867E-2</v>
      </c>
      <c r="D5">
        <f t="shared" si="0"/>
        <v>78609022556390.969</v>
      </c>
      <c r="E5">
        <f t="shared" si="1"/>
        <v>43120300751879.695</v>
      </c>
      <c r="F5" s="4">
        <v>1575820000000</v>
      </c>
      <c r="G5">
        <v>2.25</v>
      </c>
    </row>
    <row r="6" spans="1:7" x14ac:dyDescent="0.2">
      <c r="A6">
        <v>2880</v>
      </c>
      <c r="B6" s="6">
        <v>8660</v>
      </c>
      <c r="C6">
        <v>1.493055555555556E-2</v>
      </c>
      <c r="D6">
        <f t="shared" si="0"/>
        <v>78609022556390.969</v>
      </c>
      <c r="E6">
        <f t="shared" si="1"/>
        <v>43120300751879.695</v>
      </c>
      <c r="F6" s="4">
        <v>1568050000000</v>
      </c>
      <c r="G6">
        <v>2.25</v>
      </c>
    </row>
    <row r="7" spans="1:7" x14ac:dyDescent="0.2">
      <c r="A7">
        <v>3600</v>
      </c>
      <c r="B7" s="6">
        <v>8640</v>
      </c>
      <c r="C7">
        <v>4.1666666666666657E-2</v>
      </c>
      <c r="D7">
        <f t="shared" si="0"/>
        <v>78609022556390.969</v>
      </c>
      <c r="E7">
        <f t="shared" si="1"/>
        <v>43120300751879.695</v>
      </c>
      <c r="F7" s="4">
        <v>1554760000000</v>
      </c>
      <c r="G7">
        <v>2.25</v>
      </c>
    </row>
    <row r="8" spans="1:7" x14ac:dyDescent="0.2">
      <c r="A8">
        <v>4320</v>
      </c>
      <c r="B8" s="6">
        <v>8620</v>
      </c>
      <c r="C8">
        <v>3.4722222222222224E-2</v>
      </c>
      <c r="D8">
        <f t="shared" si="0"/>
        <v>78609022556390.969</v>
      </c>
      <c r="E8">
        <f t="shared" si="1"/>
        <v>43120300751879.695</v>
      </c>
      <c r="F8" s="4">
        <v>1538210000000</v>
      </c>
      <c r="G8">
        <v>2.25</v>
      </c>
    </row>
    <row r="9" spans="1:7" x14ac:dyDescent="0.2">
      <c r="A9">
        <v>5040</v>
      </c>
      <c r="B9" s="6">
        <v>8600</v>
      </c>
      <c r="C9">
        <v>4.96031746031746E-2</v>
      </c>
      <c r="D9">
        <f t="shared" si="0"/>
        <v>78609022556390.969</v>
      </c>
      <c r="E9">
        <f t="shared" si="1"/>
        <v>43120300751879.695</v>
      </c>
      <c r="F9" s="4">
        <v>1507660000000</v>
      </c>
      <c r="G9">
        <v>2.25</v>
      </c>
    </row>
    <row r="10" spans="1:7" x14ac:dyDescent="0.2">
      <c r="A10">
        <v>5760</v>
      </c>
      <c r="B10" s="6">
        <v>8580</v>
      </c>
      <c r="C10">
        <v>7.4652777777777776E-2</v>
      </c>
      <c r="D10">
        <f t="shared" si="0"/>
        <v>78609022556390.969</v>
      </c>
      <c r="E10">
        <f t="shared" si="1"/>
        <v>43120300751879.695</v>
      </c>
      <c r="F10" s="4">
        <v>1252440000000</v>
      </c>
      <c r="G10">
        <v>2.25</v>
      </c>
    </row>
    <row r="11" spans="1:7" x14ac:dyDescent="0.2">
      <c r="A11">
        <v>6480</v>
      </c>
      <c r="B11" s="6">
        <v>8580</v>
      </c>
      <c r="C11">
        <v>8.3333333333333343E-2</v>
      </c>
      <c r="D11">
        <f t="shared" si="0"/>
        <v>78609022556390.969</v>
      </c>
      <c r="E11">
        <f t="shared" si="1"/>
        <v>43120300751879.695</v>
      </c>
      <c r="F11" s="4">
        <v>1044930000000</v>
      </c>
      <c r="G11">
        <v>2.25</v>
      </c>
    </row>
    <row r="12" spans="1:7" x14ac:dyDescent="0.2">
      <c r="A12">
        <v>7200</v>
      </c>
      <c r="B12" s="6">
        <v>8580</v>
      </c>
      <c r="C12">
        <v>0.14027777777777778</v>
      </c>
      <c r="D12">
        <f t="shared" si="0"/>
        <v>78609022556390.969</v>
      </c>
      <c r="E12">
        <f t="shared" si="1"/>
        <v>43120300751879.695</v>
      </c>
      <c r="F12" s="4">
        <v>899827000000</v>
      </c>
      <c r="G12">
        <v>2.25</v>
      </c>
    </row>
    <row r="13" spans="1:7" x14ac:dyDescent="0.2">
      <c r="A13">
        <v>9360</v>
      </c>
      <c r="B13" s="6">
        <v>8580</v>
      </c>
      <c r="C13">
        <v>0.98290598290598286</v>
      </c>
      <c r="D13">
        <f t="shared" si="0"/>
        <v>78609022556390.969</v>
      </c>
      <c r="E13">
        <f t="shared" si="1"/>
        <v>43120300751879.695</v>
      </c>
      <c r="F13" s="4">
        <v>797191000000</v>
      </c>
      <c r="G13">
        <v>2.25</v>
      </c>
    </row>
    <row r="14" spans="1:7" x14ac:dyDescent="0.2">
      <c r="A14">
        <v>10080</v>
      </c>
      <c r="B14" s="6">
        <v>8580</v>
      </c>
      <c r="C14">
        <v>0.86805555555555558</v>
      </c>
      <c r="D14">
        <f t="shared" si="0"/>
        <v>78609022556390.969</v>
      </c>
      <c r="E14">
        <f t="shared" si="1"/>
        <v>43120300751879.695</v>
      </c>
      <c r="F14" s="4">
        <v>681586000000</v>
      </c>
      <c r="G14">
        <v>2.25</v>
      </c>
    </row>
    <row r="15" spans="1:7" x14ac:dyDescent="0.2">
      <c r="A15">
        <v>10512</v>
      </c>
      <c r="B15" s="6">
        <v>8680</v>
      </c>
      <c r="C15">
        <v>0.670662100456621</v>
      </c>
      <c r="D15">
        <f t="shared" si="0"/>
        <v>78609022556390.969</v>
      </c>
      <c r="E15">
        <f t="shared" si="1"/>
        <v>43120300751879.695</v>
      </c>
      <c r="F15" s="4">
        <v>725906000000</v>
      </c>
      <c r="G15">
        <v>2.25</v>
      </c>
    </row>
    <row r="16" spans="1:7" x14ac:dyDescent="0.2">
      <c r="A16">
        <v>10800</v>
      </c>
      <c r="B16" s="6">
        <v>8720</v>
      </c>
      <c r="C16">
        <v>0.51851851851851849</v>
      </c>
      <c r="D16">
        <f t="shared" si="0"/>
        <v>78609022556390.969</v>
      </c>
      <c r="E16">
        <f t="shared" si="1"/>
        <v>43120300751879.695</v>
      </c>
      <c r="F16" s="4">
        <v>631522000000</v>
      </c>
      <c r="G16">
        <v>2.25</v>
      </c>
    </row>
    <row r="17" spans="1:7" x14ac:dyDescent="0.2">
      <c r="A17">
        <v>11088</v>
      </c>
      <c r="B17" s="6">
        <v>8720</v>
      </c>
      <c r="C17">
        <v>0.64033189033189031</v>
      </c>
      <c r="D17">
        <f t="shared" si="0"/>
        <v>78609022556390.969</v>
      </c>
      <c r="E17">
        <f t="shared" si="1"/>
        <v>43120300751879.695</v>
      </c>
      <c r="F17" s="4">
        <v>573961000000</v>
      </c>
      <c r="G17">
        <v>2.25</v>
      </c>
    </row>
    <row r="18" spans="1:7" x14ac:dyDescent="0.2">
      <c r="A18">
        <v>11808</v>
      </c>
      <c r="B18" s="6">
        <v>8720</v>
      </c>
      <c r="C18">
        <v>1.3380758807588076</v>
      </c>
      <c r="D18">
        <f t="shared" si="0"/>
        <v>78609022556390.969</v>
      </c>
      <c r="E18">
        <f t="shared" si="1"/>
        <v>43120300751879.695</v>
      </c>
      <c r="F18" s="4">
        <v>517049000000</v>
      </c>
      <c r="G18">
        <v>2.25</v>
      </c>
    </row>
    <row r="19" spans="1:7" x14ac:dyDescent="0.2">
      <c r="A19">
        <v>12960</v>
      </c>
      <c r="B19" s="6">
        <v>8720</v>
      </c>
      <c r="C19">
        <v>2.3302469135802468</v>
      </c>
      <c r="D19">
        <f t="shared" si="0"/>
        <v>78609022556390.969</v>
      </c>
      <c r="E19">
        <f t="shared" si="1"/>
        <v>43120300751879.695</v>
      </c>
      <c r="F19" s="4">
        <v>-824873000000</v>
      </c>
      <c r="G19">
        <v>2.25</v>
      </c>
    </row>
    <row r="20" spans="1:7" x14ac:dyDescent="0.2">
      <c r="A20">
        <v>13680</v>
      </c>
      <c r="B20" s="6">
        <v>8720</v>
      </c>
      <c r="C20">
        <v>1.381578947368421</v>
      </c>
      <c r="D20">
        <f t="shared" si="0"/>
        <v>78609022556390.969</v>
      </c>
      <c r="E20">
        <f t="shared" si="1"/>
        <v>43120300751879.695</v>
      </c>
      <c r="F20" s="4">
        <v>-1946670000000</v>
      </c>
      <c r="G20">
        <v>2.25</v>
      </c>
    </row>
    <row r="21" spans="1:7" x14ac:dyDescent="0.2">
      <c r="A21">
        <v>14400</v>
      </c>
      <c r="B21" s="6">
        <v>8720</v>
      </c>
      <c r="C21">
        <v>1.3263888888888888</v>
      </c>
      <c r="D21">
        <f t="shared" si="0"/>
        <v>78609022556390.969</v>
      </c>
      <c r="E21">
        <f t="shared" si="1"/>
        <v>43120300751879.695</v>
      </c>
      <c r="F21" s="4">
        <v>-3241070000000</v>
      </c>
      <c r="G21">
        <v>2.25</v>
      </c>
    </row>
    <row r="22" spans="1:7" x14ac:dyDescent="0.2">
      <c r="A22">
        <v>15408</v>
      </c>
      <c r="B22" s="6">
        <v>8720</v>
      </c>
      <c r="C22">
        <v>1.6095534787123573</v>
      </c>
      <c r="D22">
        <f t="shared" si="0"/>
        <v>78609022556390.969</v>
      </c>
      <c r="E22">
        <f t="shared" si="1"/>
        <v>43120300751879.695</v>
      </c>
      <c r="F22" s="4">
        <v>-3735180000000</v>
      </c>
      <c r="G22">
        <v>2.25</v>
      </c>
    </row>
    <row r="23" spans="1:7" x14ac:dyDescent="0.2">
      <c r="A23">
        <v>17280</v>
      </c>
      <c r="B23" s="6">
        <v>8720</v>
      </c>
      <c r="C23">
        <v>2.5578703703703702</v>
      </c>
      <c r="D23">
        <f t="shared" si="0"/>
        <v>78609022556390.969</v>
      </c>
      <c r="E23">
        <f t="shared" si="1"/>
        <v>43120300751879.695</v>
      </c>
      <c r="F23" s="3">
        <v>-5600000000000</v>
      </c>
      <c r="G23">
        <v>2.25</v>
      </c>
    </row>
    <row r="24" spans="1:7" x14ac:dyDescent="0.2">
      <c r="A24">
        <v>18144</v>
      </c>
      <c r="B24" s="6">
        <v>8720</v>
      </c>
      <c r="C24">
        <v>0.99206349206349198</v>
      </c>
      <c r="D24">
        <f t="shared" si="0"/>
        <v>78609022556390.969</v>
      </c>
      <c r="E24">
        <f t="shared" si="1"/>
        <v>43120300751879.695</v>
      </c>
      <c r="F24" s="3">
        <v>-20000000000000</v>
      </c>
      <c r="G24">
        <v>2.25</v>
      </c>
    </row>
    <row r="25" spans="1:7" x14ac:dyDescent="0.2">
      <c r="A25">
        <v>19483.2</v>
      </c>
      <c r="B25" s="6">
        <v>8720</v>
      </c>
      <c r="C25">
        <v>1.4884618543155128</v>
      </c>
      <c r="D25">
        <f t="shared" si="0"/>
        <v>78609022556390.969</v>
      </c>
      <c r="E25">
        <f t="shared" si="1"/>
        <v>43120300751879.695</v>
      </c>
      <c r="F25" s="3">
        <v>-30000000000000</v>
      </c>
      <c r="G25">
        <v>2.25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B40B2-6079-A24A-8829-2318AA741FC8}">
  <dimension ref="A1:G38"/>
  <sheetViews>
    <sheetView topLeftCell="C5" workbookViewId="0">
      <selection activeCell="H35" sqref="H35"/>
    </sheetView>
  </sheetViews>
  <sheetFormatPr baseColWidth="10" defaultRowHeight="16" x14ac:dyDescent="0.2"/>
  <cols>
    <col min="4" max="4" width="23.33203125" customWidth="1"/>
    <col min="5" max="5" width="21.1640625" customWidth="1"/>
    <col min="6" max="6" width="19" customWidth="1"/>
    <col min="7" max="7" width="10.8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8760</v>
      </c>
      <c r="C2">
        <v>0</v>
      </c>
      <c r="D2">
        <f>1414*2*10^11/5.32</f>
        <v>53157894736842.102</v>
      </c>
      <c r="E2">
        <f>2667*-1*10^13/5.32</f>
        <v>-5013157894736842</v>
      </c>
      <c r="F2">
        <v>7887066092118.0889</v>
      </c>
      <c r="G2">
        <v>1.22</v>
      </c>
    </row>
    <row r="3" spans="1:7" x14ac:dyDescent="0.2">
      <c r="A3">
        <v>450</v>
      </c>
      <c r="B3">
        <v>8760</v>
      </c>
      <c r="C3">
        <v>3.7777777777777785E-2</v>
      </c>
      <c r="D3">
        <f t="shared" ref="D3:D38" si="0">1414*2*10^11/5.32</f>
        <v>53157894736842.102</v>
      </c>
      <c r="E3">
        <f t="shared" ref="E3:E38" si="1">2667*-1*10^13/5.32</f>
        <v>-5013157894736842</v>
      </c>
      <c r="F3">
        <v>7885478649614.2158</v>
      </c>
      <c r="G3">
        <v>1.22</v>
      </c>
    </row>
    <row r="4" spans="1:7" x14ac:dyDescent="0.2">
      <c r="A4">
        <v>810</v>
      </c>
      <c r="B4">
        <v>8760</v>
      </c>
      <c r="C4">
        <v>5.6790123456790124E-2</v>
      </c>
      <c r="D4">
        <f t="shared" si="0"/>
        <v>53157894736842.102</v>
      </c>
      <c r="E4">
        <f t="shared" si="1"/>
        <v>-5013157894736842</v>
      </c>
      <c r="F4">
        <v>7881184485141.7676</v>
      </c>
      <c r="G4">
        <v>1.22</v>
      </c>
    </row>
    <row r="5" spans="1:7" x14ac:dyDescent="0.2">
      <c r="A5">
        <v>1350</v>
      </c>
      <c r="B5">
        <v>8760</v>
      </c>
      <c r="C5">
        <v>3.0370370370370367E-2</v>
      </c>
      <c r="D5">
        <f t="shared" si="0"/>
        <v>53157894736842.102</v>
      </c>
      <c r="E5">
        <f t="shared" si="1"/>
        <v>-5013157894736842</v>
      </c>
      <c r="F5">
        <v>7877358638247.6328</v>
      </c>
      <c r="G5">
        <v>1.22</v>
      </c>
    </row>
    <row r="6" spans="1:7" x14ac:dyDescent="0.2">
      <c r="A6">
        <v>2880</v>
      </c>
      <c r="B6">
        <v>8740</v>
      </c>
      <c r="C6">
        <v>1.3541666666666671E-2</v>
      </c>
      <c r="D6">
        <f t="shared" si="0"/>
        <v>53157894736842.102</v>
      </c>
      <c r="E6">
        <f t="shared" si="1"/>
        <v>-5013157894736842</v>
      </c>
      <c r="F6">
        <v>7873720782642.2012</v>
      </c>
      <c r="G6">
        <v>1.22</v>
      </c>
    </row>
    <row r="7" spans="1:7" x14ac:dyDescent="0.2">
      <c r="A7">
        <v>3600</v>
      </c>
      <c r="B7">
        <v>8720</v>
      </c>
      <c r="C7">
        <v>1.5833333333333335E-2</v>
      </c>
      <c r="D7">
        <f t="shared" si="0"/>
        <v>53157894736842.102</v>
      </c>
      <c r="E7">
        <f t="shared" si="1"/>
        <v>-5013157894736842</v>
      </c>
      <c r="F7">
        <v>7868406309319.9854</v>
      </c>
      <c r="G7">
        <v>1.22</v>
      </c>
    </row>
    <row r="8" spans="1:7" x14ac:dyDescent="0.2">
      <c r="A8">
        <v>4320</v>
      </c>
      <c r="B8">
        <v>8700</v>
      </c>
      <c r="C8">
        <v>1.7361111111111112E-2</v>
      </c>
      <c r="D8">
        <f t="shared" si="0"/>
        <v>53157894736842.102</v>
      </c>
      <c r="E8">
        <f t="shared" si="1"/>
        <v>-5013157894736842</v>
      </c>
      <c r="F8">
        <v>7861417908209.4053</v>
      </c>
      <c r="G8">
        <v>1.22</v>
      </c>
    </row>
    <row r="9" spans="1:7" x14ac:dyDescent="0.2">
      <c r="A9">
        <v>5040</v>
      </c>
      <c r="B9">
        <v>8680</v>
      </c>
      <c r="C9">
        <v>2.5000000000000005E-2</v>
      </c>
      <c r="D9">
        <f t="shared" si="0"/>
        <v>53157894736842.102</v>
      </c>
      <c r="E9">
        <f t="shared" si="1"/>
        <v>-5013157894736842</v>
      </c>
      <c r="F9">
        <v>7849688456878.6572</v>
      </c>
      <c r="G9">
        <v>1.22</v>
      </c>
    </row>
    <row r="10" spans="1:7" x14ac:dyDescent="0.2">
      <c r="A10">
        <v>5760</v>
      </c>
      <c r="B10">
        <v>8660</v>
      </c>
      <c r="C10">
        <v>3.4548611111111099E-2</v>
      </c>
      <c r="D10">
        <f t="shared" si="0"/>
        <v>53157894736842.102</v>
      </c>
      <c r="E10">
        <f t="shared" si="1"/>
        <v>-5013157894736842</v>
      </c>
      <c r="F10">
        <v>7831191595413.4404</v>
      </c>
      <c r="G10">
        <v>1.22</v>
      </c>
    </row>
    <row r="11" spans="1:7" x14ac:dyDescent="0.2">
      <c r="A11">
        <v>6480</v>
      </c>
      <c r="B11">
        <v>8640</v>
      </c>
      <c r="C11">
        <v>6.1111111111111123E-2</v>
      </c>
      <c r="D11">
        <f t="shared" si="0"/>
        <v>53157894736842.102</v>
      </c>
      <c r="E11">
        <f t="shared" si="1"/>
        <v>-5013157894736842</v>
      </c>
      <c r="F11">
        <v>7794486425115.3516</v>
      </c>
      <c r="G11">
        <v>1.22</v>
      </c>
    </row>
    <row r="12" spans="1:7" x14ac:dyDescent="0.2">
      <c r="A12">
        <v>7200</v>
      </c>
      <c r="B12">
        <v>8620</v>
      </c>
      <c r="C12">
        <v>7.9444444444444429E-2</v>
      </c>
      <c r="D12">
        <f t="shared" si="0"/>
        <v>53157894736842.102</v>
      </c>
      <c r="E12">
        <f t="shared" si="1"/>
        <v>-5013157894736842</v>
      </c>
      <c r="F12">
        <v>7741708430582.833</v>
      </c>
      <c r="G12">
        <v>1.22</v>
      </c>
    </row>
    <row r="13" spans="1:7" x14ac:dyDescent="0.2">
      <c r="A13">
        <v>7920</v>
      </c>
      <c r="B13">
        <v>8600</v>
      </c>
      <c r="C13">
        <v>0.12234848484848485</v>
      </c>
      <c r="D13">
        <f t="shared" si="0"/>
        <v>53157894736842.102</v>
      </c>
      <c r="E13">
        <f t="shared" si="1"/>
        <v>-5013157894736842</v>
      </c>
      <c r="F13">
        <v>7652945477463.7188</v>
      </c>
      <c r="G13">
        <v>1.22</v>
      </c>
    </row>
    <row r="14" spans="1:7" x14ac:dyDescent="0.2">
      <c r="A14">
        <v>8640</v>
      </c>
      <c r="B14">
        <v>8600</v>
      </c>
      <c r="C14">
        <v>0.18958333333333335</v>
      </c>
      <c r="D14">
        <f t="shared" si="0"/>
        <v>53157894736842.102</v>
      </c>
      <c r="E14">
        <f t="shared" si="1"/>
        <v>-5013157894736842</v>
      </c>
      <c r="F14">
        <v>7504734000576.5762</v>
      </c>
      <c r="G14">
        <v>1.22</v>
      </c>
    </row>
    <row r="15" spans="1:7" x14ac:dyDescent="0.2">
      <c r="A15">
        <v>9360</v>
      </c>
      <c r="B15">
        <v>8600</v>
      </c>
      <c r="C15">
        <v>0.30320512820512824</v>
      </c>
      <c r="D15">
        <f t="shared" si="0"/>
        <v>53157894736842.102</v>
      </c>
      <c r="E15">
        <f t="shared" si="1"/>
        <v>-5013157894736842</v>
      </c>
      <c r="F15">
        <v>7253328746849.0625</v>
      </c>
      <c r="G15">
        <v>1.22</v>
      </c>
    </row>
    <row r="16" spans="1:7" x14ac:dyDescent="0.2">
      <c r="A16">
        <v>10080</v>
      </c>
      <c r="B16">
        <v>8580</v>
      </c>
      <c r="C16">
        <v>0.35367063492063483</v>
      </c>
      <c r="D16">
        <f t="shared" si="0"/>
        <v>53157894736842.102</v>
      </c>
      <c r="E16">
        <f t="shared" si="1"/>
        <v>-5013157894736842</v>
      </c>
      <c r="F16">
        <v>6947020514714.0342</v>
      </c>
      <c r="G16">
        <v>1.22</v>
      </c>
    </row>
    <row r="17" spans="1:7" x14ac:dyDescent="0.2">
      <c r="A17">
        <v>10800</v>
      </c>
      <c r="B17">
        <v>8560</v>
      </c>
      <c r="C17">
        <v>0.52888888888888885</v>
      </c>
      <c r="D17">
        <f t="shared" si="0"/>
        <v>53157894736842.102</v>
      </c>
      <c r="E17">
        <f t="shared" si="1"/>
        <v>-5013157894736842</v>
      </c>
      <c r="F17">
        <v>6477670260181.7305</v>
      </c>
      <c r="G17">
        <v>1.22</v>
      </c>
    </row>
    <row r="18" spans="1:7" x14ac:dyDescent="0.2">
      <c r="A18">
        <v>11520</v>
      </c>
      <c r="B18">
        <v>8560</v>
      </c>
      <c r="C18">
        <v>0.83333333333333337</v>
      </c>
      <c r="D18">
        <f t="shared" si="0"/>
        <v>53157894736842.102</v>
      </c>
      <c r="E18">
        <f t="shared" si="1"/>
        <v>-5013157894736842</v>
      </c>
      <c r="F18">
        <v>5745680521333.2666</v>
      </c>
      <c r="G18">
        <v>1.22</v>
      </c>
    </row>
    <row r="19" spans="1:7" x14ac:dyDescent="0.2">
      <c r="A19">
        <v>12240</v>
      </c>
      <c r="B19">
        <v>8660</v>
      </c>
      <c r="C19">
        <v>0.73529411764705876</v>
      </c>
      <c r="D19">
        <f t="shared" si="0"/>
        <v>53157894736842.102</v>
      </c>
      <c r="E19">
        <f t="shared" si="1"/>
        <v>-5013157894736842</v>
      </c>
      <c r="F19">
        <v>5120452575247.1719</v>
      </c>
      <c r="G19">
        <v>1.22</v>
      </c>
    </row>
    <row r="20" spans="1:7" x14ac:dyDescent="0.2">
      <c r="A20">
        <v>12960</v>
      </c>
      <c r="B20">
        <v>8700</v>
      </c>
      <c r="C20">
        <v>0.95679012345679015</v>
      </c>
      <c r="D20">
        <f t="shared" si="0"/>
        <v>53157894736842.102</v>
      </c>
      <c r="E20">
        <f t="shared" si="1"/>
        <v>-5013157894736842</v>
      </c>
      <c r="F20">
        <v>4348562034350.9858</v>
      </c>
      <c r="G20">
        <v>1.22</v>
      </c>
    </row>
    <row r="21" spans="1:7" x14ac:dyDescent="0.2">
      <c r="A21">
        <v>13680</v>
      </c>
      <c r="B21">
        <v>8700</v>
      </c>
      <c r="C21">
        <v>1.0307017543859649</v>
      </c>
      <c r="D21">
        <f t="shared" si="0"/>
        <v>53157894736842.102</v>
      </c>
      <c r="E21">
        <f t="shared" si="1"/>
        <v>-5013157894736842</v>
      </c>
      <c r="F21">
        <v>4114757829805.3428</v>
      </c>
      <c r="G21">
        <v>1.22</v>
      </c>
    </row>
    <row r="22" spans="1:7" x14ac:dyDescent="0.2">
      <c r="A22">
        <v>14400</v>
      </c>
      <c r="B22">
        <v>8700</v>
      </c>
      <c r="C22">
        <v>1.0208333333333333</v>
      </c>
      <c r="D22">
        <f t="shared" si="0"/>
        <v>53157894736842.102</v>
      </c>
      <c r="E22">
        <f t="shared" si="1"/>
        <v>-5013157894736842</v>
      </c>
      <c r="F22">
        <v>3636373513005.6411</v>
      </c>
      <c r="G22">
        <v>1.22</v>
      </c>
    </row>
    <row r="23" spans="1:7" x14ac:dyDescent="0.2">
      <c r="A23">
        <v>15120</v>
      </c>
      <c r="B23">
        <v>8700</v>
      </c>
      <c r="C23">
        <v>1.1243386243386242</v>
      </c>
      <c r="D23">
        <f t="shared" si="0"/>
        <v>53157894736842.102</v>
      </c>
      <c r="E23">
        <f t="shared" si="1"/>
        <v>-5013157894736842</v>
      </c>
      <c r="F23">
        <v>3129843362513.5215</v>
      </c>
      <c r="G23">
        <v>1.22</v>
      </c>
    </row>
    <row r="24" spans="1:7" x14ac:dyDescent="0.2">
      <c r="A24">
        <v>15840</v>
      </c>
      <c r="B24">
        <v>8700</v>
      </c>
      <c r="C24">
        <v>0.90277777777777768</v>
      </c>
      <c r="D24">
        <f t="shared" si="0"/>
        <v>53157894736842.102</v>
      </c>
      <c r="E24">
        <f t="shared" si="1"/>
        <v>-5013157894736842</v>
      </c>
      <c r="F24">
        <v>2741043420322.3838</v>
      </c>
      <c r="G24">
        <v>1.22</v>
      </c>
    </row>
    <row r="25" spans="1:7" x14ac:dyDescent="0.2">
      <c r="A25">
        <v>16560</v>
      </c>
      <c r="B25">
        <v>8700</v>
      </c>
      <c r="C25">
        <v>0.98429951690821249</v>
      </c>
      <c r="D25">
        <f t="shared" si="0"/>
        <v>53157894736842.102</v>
      </c>
      <c r="E25">
        <f t="shared" si="1"/>
        <v>-5013157894736842</v>
      </c>
      <c r="F25">
        <v>2337656335294.0254</v>
      </c>
      <c r="G25">
        <v>1.22</v>
      </c>
    </row>
    <row r="26" spans="1:7" x14ac:dyDescent="0.2">
      <c r="A26">
        <v>17496</v>
      </c>
      <c r="B26">
        <v>8700</v>
      </c>
      <c r="C26">
        <v>1.2288523090992227</v>
      </c>
      <c r="D26">
        <f t="shared" si="0"/>
        <v>53157894736842.102</v>
      </c>
      <c r="E26">
        <f t="shared" si="1"/>
        <v>-5013157894736842</v>
      </c>
      <c r="F26">
        <v>1867254543367.0703</v>
      </c>
      <c r="G26">
        <v>1.22</v>
      </c>
    </row>
    <row r="27" spans="1:7" x14ac:dyDescent="0.2">
      <c r="A27">
        <v>18000</v>
      </c>
      <c r="B27">
        <v>8700</v>
      </c>
      <c r="C27">
        <v>0.68333333333333335</v>
      </c>
      <c r="D27">
        <f t="shared" si="0"/>
        <v>53157894736842.102</v>
      </c>
      <c r="E27">
        <f t="shared" si="1"/>
        <v>-5013157894736842</v>
      </c>
      <c r="F27">
        <v>1628120177441.1604</v>
      </c>
      <c r="G27">
        <v>1.22</v>
      </c>
    </row>
    <row r="28" spans="1:7" x14ac:dyDescent="0.2">
      <c r="A28">
        <v>18720</v>
      </c>
      <c r="B28">
        <v>8700</v>
      </c>
      <c r="C28">
        <v>0.75320512820512819</v>
      </c>
      <c r="D28">
        <f t="shared" si="0"/>
        <v>53157894736842.102</v>
      </c>
      <c r="E28">
        <f t="shared" si="1"/>
        <v>-5013157894736842</v>
      </c>
      <c r="F28">
        <v>-2221065787103.7988</v>
      </c>
      <c r="G28">
        <v>1.22</v>
      </c>
    </row>
    <row r="29" spans="1:7" x14ac:dyDescent="0.2">
      <c r="A29">
        <v>19440</v>
      </c>
      <c r="B29">
        <v>8700</v>
      </c>
      <c r="C29">
        <v>0.82818930041152261</v>
      </c>
      <c r="D29">
        <f t="shared" si="0"/>
        <v>53157894736842.102</v>
      </c>
      <c r="E29">
        <f t="shared" si="1"/>
        <v>-5013157894736842</v>
      </c>
      <c r="F29">
        <v>-2867421787696.1943</v>
      </c>
      <c r="G29">
        <v>1.22</v>
      </c>
    </row>
    <row r="30" spans="1:7" x14ac:dyDescent="0.2">
      <c r="A30">
        <v>20160</v>
      </c>
      <c r="B30">
        <v>8700</v>
      </c>
      <c r="C30">
        <v>0.70436507936507942</v>
      </c>
      <c r="D30">
        <f t="shared" si="0"/>
        <v>53157894736842.102</v>
      </c>
      <c r="E30">
        <f t="shared" si="1"/>
        <v>-5013157894736842</v>
      </c>
      <c r="F30">
        <v>-3650599216548.772</v>
      </c>
      <c r="G30">
        <v>1.22</v>
      </c>
    </row>
    <row r="31" spans="1:7" x14ac:dyDescent="0.2">
      <c r="A31">
        <v>20880</v>
      </c>
      <c r="B31">
        <v>8700</v>
      </c>
      <c r="C31">
        <v>0.63218390804597702</v>
      </c>
      <c r="D31">
        <f t="shared" si="0"/>
        <v>53157894736842.102</v>
      </c>
      <c r="E31">
        <f t="shared" si="1"/>
        <v>-5013157894736842</v>
      </c>
      <c r="F31">
        <v>-4641238591853.2266</v>
      </c>
      <c r="G31">
        <v>1.22</v>
      </c>
    </row>
    <row r="32" spans="1:7" x14ac:dyDescent="0.2">
      <c r="A32">
        <v>21600</v>
      </c>
      <c r="B32">
        <v>8700</v>
      </c>
      <c r="C32">
        <v>0.61111111111111116</v>
      </c>
      <c r="D32">
        <f t="shared" si="0"/>
        <v>53157894736842.102</v>
      </c>
      <c r="E32">
        <f t="shared" si="1"/>
        <v>-5013157894736842</v>
      </c>
      <c r="F32">
        <v>-4896406381199.4297</v>
      </c>
      <c r="G32">
        <v>1.22</v>
      </c>
    </row>
    <row r="33" spans="1:7" x14ac:dyDescent="0.2">
      <c r="A33">
        <v>22320</v>
      </c>
      <c r="B33">
        <v>8700</v>
      </c>
      <c r="C33">
        <v>0.56003584229390679</v>
      </c>
      <c r="D33">
        <f t="shared" si="0"/>
        <v>53157894736842.102</v>
      </c>
      <c r="E33">
        <f t="shared" si="1"/>
        <v>-5013157894736842</v>
      </c>
      <c r="F33">
        <v>-5097547213748.832</v>
      </c>
      <c r="G33">
        <v>1.22</v>
      </c>
    </row>
    <row r="34" spans="1:7" x14ac:dyDescent="0.2">
      <c r="A34">
        <v>23760</v>
      </c>
      <c r="B34">
        <v>8700</v>
      </c>
      <c r="C34">
        <v>1.0816498316498315</v>
      </c>
      <c r="D34">
        <f t="shared" si="0"/>
        <v>53157894736842.102</v>
      </c>
      <c r="E34">
        <f t="shared" si="1"/>
        <v>-5013157894736842</v>
      </c>
      <c r="F34">
        <v>-5596434545845.0869</v>
      </c>
      <c r="G34">
        <v>1.22</v>
      </c>
    </row>
    <row r="35" spans="1:7" x14ac:dyDescent="0.2">
      <c r="A35">
        <v>24480</v>
      </c>
      <c r="B35">
        <v>8700</v>
      </c>
      <c r="C35">
        <v>0.55147058823529416</v>
      </c>
      <c r="D35">
        <f t="shared" si="0"/>
        <v>53157894736842.102</v>
      </c>
      <c r="E35">
        <f t="shared" si="1"/>
        <v>-5013157894736842</v>
      </c>
      <c r="F35">
        <v>-5920167832543.917</v>
      </c>
      <c r="G35">
        <v>1.22</v>
      </c>
    </row>
    <row r="36" spans="1:7" x14ac:dyDescent="0.2">
      <c r="A36">
        <v>24854.399999999998</v>
      </c>
      <c r="B36">
        <v>8700</v>
      </c>
      <c r="C36">
        <v>0.32187459765675291</v>
      </c>
      <c r="D36">
        <f t="shared" si="0"/>
        <v>53157894736842.102</v>
      </c>
      <c r="E36">
        <f t="shared" si="1"/>
        <v>-5013157894736842</v>
      </c>
      <c r="F36">
        <v>-6138753724118.457</v>
      </c>
      <c r="G36">
        <v>1.22</v>
      </c>
    </row>
    <row r="37" spans="1:7" x14ac:dyDescent="0.2">
      <c r="A37">
        <v>26640</v>
      </c>
      <c r="B37">
        <v>9196</v>
      </c>
      <c r="C37">
        <v>1.7567567567567568</v>
      </c>
      <c r="D37">
        <f t="shared" si="0"/>
        <v>53157894736842.102</v>
      </c>
      <c r="E37">
        <f t="shared" si="1"/>
        <v>-5013157894736842</v>
      </c>
      <c r="F37">
        <v>-8119982220850.2588</v>
      </c>
      <c r="G37">
        <v>1.22</v>
      </c>
    </row>
    <row r="38" spans="1:7" x14ac:dyDescent="0.2">
      <c r="A38">
        <v>27360</v>
      </c>
      <c r="B38">
        <v>9396</v>
      </c>
      <c r="C38">
        <v>0.9064327485380117</v>
      </c>
      <c r="D38">
        <f t="shared" si="0"/>
        <v>53157894736842.102</v>
      </c>
      <c r="E38">
        <f t="shared" si="1"/>
        <v>-5013157894736842</v>
      </c>
      <c r="F38">
        <v>-10302002501694.893</v>
      </c>
      <c r="G38">
        <v>1.22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365E-8251-064C-B190-8996A2ED8C2D}">
  <dimension ref="A1:G33"/>
  <sheetViews>
    <sheetView topLeftCell="B1" workbookViewId="0">
      <selection activeCell="G2" sqref="G2:G33"/>
    </sheetView>
  </sheetViews>
  <sheetFormatPr baseColWidth="10" defaultRowHeight="16" x14ac:dyDescent="0.2"/>
  <cols>
    <col min="4" max="4" width="25.1640625" customWidth="1"/>
    <col min="5" max="5" width="19.33203125" customWidth="1"/>
    <col min="6" max="6" width="17.3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8740</v>
      </c>
      <c r="C2">
        <v>0</v>
      </c>
      <c r="D2">
        <f>1207/5.32*8*10^11</f>
        <v>181503759398496.22</v>
      </c>
      <c r="E2">
        <f>2523*2.4*10^11/5.32</f>
        <v>113819548872180.44</v>
      </c>
      <c r="F2">
        <v>-1014767182228.7085</v>
      </c>
      <c r="G2">
        <v>0</v>
      </c>
    </row>
    <row r="3" spans="1:7" x14ac:dyDescent="0.2">
      <c r="A3">
        <v>180</v>
      </c>
      <c r="B3">
        <v>8720</v>
      </c>
      <c r="C3">
        <v>0.12777777777777752</v>
      </c>
      <c r="D3">
        <f t="shared" ref="D3:D33" si="0">1207/5.32*8*10^11</f>
        <v>181503759398496.22</v>
      </c>
      <c r="E3">
        <f t="shared" ref="E3:E33" si="1">2523*2.4*10^11/5.32</f>
        <v>113819548872180.44</v>
      </c>
      <c r="F3">
        <v>-1015224268923.4106</v>
      </c>
      <c r="G3">
        <v>0</v>
      </c>
    </row>
    <row r="4" spans="1:7" x14ac:dyDescent="0.2">
      <c r="A4">
        <v>900</v>
      </c>
      <c r="B4">
        <v>8720</v>
      </c>
      <c r="C4">
        <v>0.26111111111111107</v>
      </c>
      <c r="D4">
        <f t="shared" si="0"/>
        <v>181503759398496.22</v>
      </c>
      <c r="E4">
        <f t="shared" si="1"/>
        <v>113819548872180.44</v>
      </c>
      <c r="F4">
        <v>-1019907948678.0112</v>
      </c>
      <c r="G4">
        <v>0</v>
      </c>
    </row>
    <row r="5" spans="1:7" x14ac:dyDescent="0.2">
      <c r="A5">
        <v>2454.5454545454545</v>
      </c>
      <c r="B5">
        <v>8700</v>
      </c>
      <c r="C5">
        <v>0.12507407407407409</v>
      </c>
      <c r="D5">
        <f t="shared" si="0"/>
        <v>181503759398496.22</v>
      </c>
      <c r="E5">
        <f t="shared" si="1"/>
        <v>113819548872180.44</v>
      </c>
      <c r="F5">
        <v>-1026063704104.1621</v>
      </c>
      <c r="G5">
        <v>0</v>
      </c>
    </row>
    <row r="6" spans="1:7" x14ac:dyDescent="0.2">
      <c r="A6">
        <v>3272.7272727272725</v>
      </c>
      <c r="B6">
        <v>8700</v>
      </c>
      <c r="C6">
        <v>0.19249999999999998</v>
      </c>
      <c r="D6">
        <f t="shared" si="0"/>
        <v>181503759398496.22</v>
      </c>
      <c r="E6">
        <f t="shared" si="1"/>
        <v>113819548872180.44</v>
      </c>
      <c r="F6">
        <v>-1038828860970.6715</v>
      </c>
      <c r="G6">
        <v>0</v>
      </c>
    </row>
    <row r="7" spans="1:7" x14ac:dyDescent="0.2">
      <c r="A7">
        <v>4090.9090909090905</v>
      </c>
      <c r="B7">
        <v>8700</v>
      </c>
      <c r="C7">
        <v>0.20460000000000006</v>
      </c>
      <c r="D7">
        <f t="shared" si="0"/>
        <v>181503759398496.22</v>
      </c>
      <c r="E7">
        <f t="shared" si="1"/>
        <v>113819548872180.44</v>
      </c>
      <c r="F7">
        <v>-1056068692040.8916</v>
      </c>
      <c r="G7">
        <v>0</v>
      </c>
    </row>
    <row r="8" spans="1:7" x14ac:dyDescent="0.2">
      <c r="A8">
        <v>5040</v>
      </c>
      <c r="B8">
        <v>8700</v>
      </c>
      <c r="C8">
        <v>0.31488095238095232</v>
      </c>
      <c r="D8">
        <f t="shared" si="0"/>
        <v>181503759398496.22</v>
      </c>
      <c r="E8">
        <f t="shared" si="1"/>
        <v>113819548872180.44</v>
      </c>
      <c r="F8">
        <v>-1089657681349.6362</v>
      </c>
      <c r="G8">
        <v>0</v>
      </c>
    </row>
    <row r="9" spans="1:7" x14ac:dyDescent="0.2">
      <c r="A9">
        <v>5727.272727272727</v>
      </c>
      <c r="B9">
        <v>8680</v>
      </c>
      <c r="C9">
        <v>0.28233333333333338</v>
      </c>
      <c r="D9">
        <f t="shared" si="0"/>
        <v>181503759398496.22</v>
      </c>
      <c r="E9">
        <f t="shared" si="1"/>
        <v>113819548872180.44</v>
      </c>
      <c r="F9">
        <v>-1125137369748.8799</v>
      </c>
      <c r="G9">
        <v>0</v>
      </c>
    </row>
    <row r="10" spans="1:7" x14ac:dyDescent="0.2">
      <c r="A10">
        <v>6545.454545454545</v>
      </c>
      <c r="B10">
        <v>8660</v>
      </c>
      <c r="C10">
        <v>0.33672222222222231</v>
      </c>
      <c r="D10">
        <f t="shared" si="0"/>
        <v>181503759398496.22</v>
      </c>
      <c r="E10">
        <f t="shared" si="1"/>
        <v>113819548872180.44</v>
      </c>
      <c r="F10">
        <v>-1175633326969.1558</v>
      </c>
      <c r="G10">
        <v>0</v>
      </c>
    </row>
    <row r="11" spans="1:7" x14ac:dyDescent="0.2">
      <c r="A11">
        <v>7854.545454545454</v>
      </c>
      <c r="B11">
        <v>8640</v>
      </c>
      <c r="C11">
        <v>0.72289351851851835</v>
      </c>
      <c r="D11">
        <f t="shared" si="0"/>
        <v>181503759398496.22</v>
      </c>
      <c r="E11">
        <f t="shared" si="1"/>
        <v>113819548872180.44</v>
      </c>
      <c r="F11">
        <v>-1318038573348.6089</v>
      </c>
      <c r="G11">
        <v>0</v>
      </c>
    </row>
    <row r="12" spans="1:7" x14ac:dyDescent="0.2">
      <c r="A12">
        <v>9000</v>
      </c>
      <c r="B12">
        <v>8640</v>
      </c>
      <c r="C12">
        <v>0.89188888888888895</v>
      </c>
      <c r="D12">
        <f t="shared" si="0"/>
        <v>181503759398496.22</v>
      </c>
      <c r="E12">
        <f t="shared" si="1"/>
        <v>113819548872180.44</v>
      </c>
      <c r="F12">
        <v>-1554128736248.4658</v>
      </c>
      <c r="G12">
        <v>0</v>
      </c>
    </row>
    <row r="13" spans="1:7" x14ac:dyDescent="0.2">
      <c r="A13">
        <v>9818.181818181818</v>
      </c>
      <c r="B13">
        <v>8640</v>
      </c>
      <c r="C13">
        <v>0.86258333333333326</v>
      </c>
      <c r="D13">
        <f t="shared" si="0"/>
        <v>181503759398496.22</v>
      </c>
      <c r="E13">
        <f t="shared" si="1"/>
        <v>113819548872180.44</v>
      </c>
      <c r="F13">
        <v>-1856892851374.3503</v>
      </c>
      <c r="G13">
        <v>0</v>
      </c>
    </row>
    <row r="14" spans="1:7" x14ac:dyDescent="0.2">
      <c r="A14">
        <v>10636.363636363636</v>
      </c>
      <c r="B14">
        <v>8740</v>
      </c>
      <c r="C14">
        <v>1.1094017094017095</v>
      </c>
      <c r="D14">
        <f t="shared" si="0"/>
        <v>181503759398496.22</v>
      </c>
      <c r="E14">
        <f t="shared" si="1"/>
        <v>113819548872180.44</v>
      </c>
      <c r="F14">
        <v>-2397432597931.0435</v>
      </c>
      <c r="G14">
        <v>0</v>
      </c>
    </row>
    <row r="15" spans="1:7" x14ac:dyDescent="0.2">
      <c r="A15">
        <v>12043.636363636362</v>
      </c>
      <c r="B15">
        <v>8740</v>
      </c>
      <c r="C15">
        <v>2.0259661835748797</v>
      </c>
      <c r="D15">
        <f t="shared" si="0"/>
        <v>181503759398496.22</v>
      </c>
      <c r="E15">
        <f t="shared" si="1"/>
        <v>113819548872180.44</v>
      </c>
      <c r="F15">
        <v>-2353983669918.4888</v>
      </c>
      <c r="G15">
        <v>0</v>
      </c>
    </row>
    <row r="16" spans="1:7" x14ac:dyDescent="0.2">
      <c r="A16">
        <v>14236.363636363636</v>
      </c>
      <c r="B16">
        <v>8740</v>
      </c>
      <c r="C16">
        <v>3.6736909323116218</v>
      </c>
      <c r="D16">
        <f t="shared" si="0"/>
        <v>181503759398496.22</v>
      </c>
      <c r="E16">
        <f t="shared" si="1"/>
        <v>113819548872180.44</v>
      </c>
      <c r="F16">
        <v>-3363130509605.8784</v>
      </c>
      <c r="G16">
        <v>0</v>
      </c>
    </row>
    <row r="17" spans="1:7" x14ac:dyDescent="0.2">
      <c r="A17">
        <v>14727.272727272726</v>
      </c>
      <c r="B17">
        <v>8740</v>
      </c>
      <c r="C17">
        <v>0.81481481481481488</v>
      </c>
      <c r="D17">
        <f t="shared" si="0"/>
        <v>181503759398496.22</v>
      </c>
      <c r="E17">
        <f t="shared" si="1"/>
        <v>113819548872180.44</v>
      </c>
      <c r="F17">
        <v>-3688144063831.6167</v>
      </c>
      <c r="G17">
        <v>0</v>
      </c>
    </row>
    <row r="18" spans="1:7" x14ac:dyDescent="0.2">
      <c r="A18">
        <v>15545.454545454544</v>
      </c>
      <c r="B18">
        <v>8740</v>
      </c>
      <c r="C18">
        <v>1.273684210526316</v>
      </c>
      <c r="D18">
        <f t="shared" si="0"/>
        <v>181503759398496.22</v>
      </c>
      <c r="E18">
        <f t="shared" si="1"/>
        <v>113819548872180.44</v>
      </c>
      <c r="F18">
        <v>-4538711229540.585</v>
      </c>
      <c r="G18">
        <v>0</v>
      </c>
    </row>
    <row r="19" spans="1:7" x14ac:dyDescent="0.2">
      <c r="A19">
        <v>16772.727272727272</v>
      </c>
      <c r="B19">
        <v>8740</v>
      </c>
      <c r="C19">
        <v>1.7289972899728996</v>
      </c>
      <c r="D19">
        <f t="shared" si="0"/>
        <v>181503759398496.22</v>
      </c>
      <c r="E19">
        <f t="shared" si="1"/>
        <v>113819548872180.44</v>
      </c>
      <c r="F19">
        <v>-6384043620910.6445</v>
      </c>
      <c r="G19">
        <v>0</v>
      </c>
    </row>
    <row r="20" spans="1:7" x14ac:dyDescent="0.2">
      <c r="A20">
        <v>17590.909090909088</v>
      </c>
      <c r="B20">
        <v>8740</v>
      </c>
      <c r="C20">
        <v>1.1028423772609821</v>
      </c>
      <c r="D20">
        <f t="shared" si="0"/>
        <v>181503759398496.22</v>
      </c>
      <c r="E20">
        <f t="shared" si="1"/>
        <v>113819548872180.44</v>
      </c>
      <c r="F20">
        <v>-7908292530988.2031</v>
      </c>
      <c r="G20">
        <v>0</v>
      </c>
    </row>
    <row r="21" spans="1:7" x14ac:dyDescent="0.2">
      <c r="A21">
        <v>18409.090909090908</v>
      </c>
      <c r="B21">
        <v>8740</v>
      </c>
      <c r="C21">
        <v>1.0483950617283953</v>
      </c>
      <c r="D21">
        <f t="shared" si="0"/>
        <v>181503759398496.22</v>
      </c>
      <c r="E21">
        <f t="shared" si="1"/>
        <v>113819548872180.44</v>
      </c>
      <c r="F21">
        <v>-9233092686009.7109</v>
      </c>
      <c r="G21">
        <v>0</v>
      </c>
    </row>
    <row r="22" spans="1:7" x14ac:dyDescent="0.2">
      <c r="A22">
        <v>19227.272727272724</v>
      </c>
      <c r="B22">
        <v>8740</v>
      </c>
      <c r="C22">
        <v>1.0297872340425533</v>
      </c>
      <c r="D22">
        <f t="shared" si="0"/>
        <v>181503759398496.22</v>
      </c>
      <c r="E22">
        <f t="shared" si="1"/>
        <v>113819548872180.44</v>
      </c>
      <c r="F22">
        <v>-10043431050534.193</v>
      </c>
      <c r="G22">
        <v>0</v>
      </c>
    </row>
    <row r="23" spans="1:7" x14ac:dyDescent="0.2">
      <c r="A23">
        <v>19718.181818181816</v>
      </c>
      <c r="B23">
        <v>8740</v>
      </c>
      <c r="C23">
        <v>0.60857538035961278</v>
      </c>
      <c r="D23">
        <f t="shared" si="0"/>
        <v>181503759398496.22</v>
      </c>
      <c r="E23">
        <f t="shared" si="1"/>
        <v>113819548872180.44</v>
      </c>
      <c r="F23">
        <v>-10635453031097.098</v>
      </c>
      <c r="G23">
        <v>0</v>
      </c>
    </row>
    <row r="24" spans="1:7" x14ac:dyDescent="0.2">
      <c r="A24">
        <v>20045.454545454544</v>
      </c>
      <c r="B24">
        <v>8740</v>
      </c>
      <c r="C24">
        <v>0.39909297052154197</v>
      </c>
      <c r="D24">
        <f t="shared" si="0"/>
        <v>181503759398496.22</v>
      </c>
      <c r="E24">
        <f t="shared" si="1"/>
        <v>113819548872180.44</v>
      </c>
      <c r="F24">
        <v>-11085078749072.951</v>
      </c>
      <c r="G24">
        <v>0</v>
      </c>
    </row>
    <row r="25" spans="1:7" x14ac:dyDescent="0.2">
      <c r="A25">
        <v>20781.81818181818</v>
      </c>
      <c r="B25">
        <v>8944.545454545454</v>
      </c>
      <c r="C25">
        <v>0.91907261592300982</v>
      </c>
      <c r="D25">
        <f t="shared" si="0"/>
        <v>181503759398496.22</v>
      </c>
      <c r="E25">
        <f t="shared" si="1"/>
        <v>113819548872180.44</v>
      </c>
      <c r="F25">
        <v>-12398386441785.9</v>
      </c>
      <c r="G25">
        <v>0</v>
      </c>
    </row>
    <row r="26" spans="1:7" x14ac:dyDescent="0.2">
      <c r="A26">
        <v>22418.181818181816</v>
      </c>
      <c r="B26">
        <v>9399.0909090909081</v>
      </c>
      <c r="C26">
        <v>2.555961070559611</v>
      </c>
      <c r="D26">
        <f t="shared" si="0"/>
        <v>181503759398496.22</v>
      </c>
      <c r="E26">
        <f t="shared" si="1"/>
        <v>113819548872180.44</v>
      </c>
      <c r="F26">
        <v>-21830273716150.336</v>
      </c>
      <c r="G26">
        <v>0</v>
      </c>
    </row>
    <row r="27" spans="1:7" x14ac:dyDescent="0.2">
      <c r="A27">
        <v>22581.81818181818</v>
      </c>
      <c r="B27">
        <v>9444.545454545454</v>
      </c>
      <c r="C27">
        <v>0.54025764895330119</v>
      </c>
      <c r="D27">
        <f t="shared" si="0"/>
        <v>181503759398496.22</v>
      </c>
      <c r="E27">
        <f t="shared" si="1"/>
        <v>113819548872180.44</v>
      </c>
      <c r="F27">
        <v>-27753306791016.664</v>
      </c>
      <c r="G27">
        <v>0</v>
      </c>
    </row>
    <row r="28" spans="1:7" x14ac:dyDescent="0.2">
      <c r="A28">
        <v>22745.454545454544</v>
      </c>
      <c r="B28">
        <v>9490</v>
      </c>
      <c r="C28">
        <v>0.63309352517985618</v>
      </c>
      <c r="D28">
        <f t="shared" si="0"/>
        <v>181503759398496.22</v>
      </c>
      <c r="E28">
        <f t="shared" si="1"/>
        <v>113819548872180.44</v>
      </c>
      <c r="F28">
        <v>-46386124645420.359</v>
      </c>
      <c r="G28">
        <v>0</v>
      </c>
    </row>
    <row r="29" spans="1:7" x14ac:dyDescent="0.2">
      <c r="A29">
        <v>22827.272727272724</v>
      </c>
      <c r="B29">
        <v>9490</v>
      </c>
      <c r="C29">
        <v>0.13142174432497014</v>
      </c>
      <c r="D29">
        <f t="shared" si="0"/>
        <v>181503759398496.22</v>
      </c>
      <c r="E29">
        <f t="shared" si="1"/>
        <v>113819548872180.44</v>
      </c>
      <c r="F29">
        <v>-56450231685754.578</v>
      </c>
      <c r="G29">
        <v>0</v>
      </c>
    </row>
    <row r="30" spans="1:7" x14ac:dyDescent="0.2">
      <c r="A30">
        <v>22990.909090909088</v>
      </c>
      <c r="B30">
        <v>9490</v>
      </c>
      <c r="C30">
        <v>0.17398181099248716</v>
      </c>
      <c r="D30">
        <f t="shared" si="0"/>
        <v>181503759398496.22</v>
      </c>
      <c r="E30">
        <f t="shared" si="1"/>
        <v>113819548872180.44</v>
      </c>
      <c r="F30">
        <v>-86829808682931.922</v>
      </c>
      <c r="G30">
        <v>0</v>
      </c>
    </row>
    <row r="31" spans="1:7" x14ac:dyDescent="0.2">
      <c r="A31">
        <v>23072.727272727272</v>
      </c>
      <c r="B31">
        <v>9490</v>
      </c>
      <c r="C31">
        <v>9.5350669818754924E-2</v>
      </c>
      <c r="D31">
        <f t="shared" si="0"/>
        <v>181503759398496.22</v>
      </c>
      <c r="E31">
        <f t="shared" si="1"/>
        <v>113819548872180.44</v>
      </c>
      <c r="F31">
        <v>-144093507285201.66</v>
      </c>
      <c r="G31">
        <v>0</v>
      </c>
    </row>
    <row r="32" spans="1:7" x14ac:dyDescent="0.2">
      <c r="A32">
        <v>23236.363636363636</v>
      </c>
      <c r="B32">
        <v>9490</v>
      </c>
      <c r="C32">
        <v>-3.4428794992175271E-2</v>
      </c>
      <c r="D32">
        <f t="shared" si="0"/>
        <v>181503759398496.22</v>
      </c>
      <c r="E32">
        <f t="shared" si="1"/>
        <v>113819548872180.44</v>
      </c>
      <c r="F32">
        <v>-113887182555831.33</v>
      </c>
      <c r="G32">
        <v>0</v>
      </c>
    </row>
    <row r="33" spans="1:7" x14ac:dyDescent="0.2">
      <c r="A33">
        <v>25036.363636363636</v>
      </c>
      <c r="B33">
        <v>9490</v>
      </c>
      <c r="C33">
        <v>9.9854756717501811E-2</v>
      </c>
      <c r="D33">
        <f t="shared" si="0"/>
        <v>181503759398496.22</v>
      </c>
      <c r="E33">
        <f t="shared" si="1"/>
        <v>113819548872180.44</v>
      </c>
      <c r="F33">
        <v>-134641381101518.95</v>
      </c>
      <c r="G3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2BA04-18F1-3145-868F-229529DE9C34}">
  <dimension ref="A1:G38"/>
  <sheetViews>
    <sheetView topLeftCell="D5" workbookViewId="0">
      <selection activeCell="H35" sqref="H35"/>
    </sheetView>
  </sheetViews>
  <sheetFormatPr baseColWidth="10" defaultRowHeight="16" x14ac:dyDescent="0.2"/>
  <cols>
    <col min="3" max="3" width="31" customWidth="1"/>
    <col min="4" max="4" width="31.5" customWidth="1"/>
    <col min="5" max="5" width="25.1640625" customWidth="1"/>
    <col min="6" max="6" width="24.16406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8720</v>
      </c>
      <c r="C2">
        <v>0</v>
      </c>
      <c r="D2">
        <f>1169*5*10^13/5.32</f>
        <v>1.0986842105263158E+16</v>
      </c>
      <c r="E2">
        <f>-2780*2*10^12/5.32</f>
        <v>-1045112781954887.1</v>
      </c>
      <c r="F2">
        <v>983878257252.19885</v>
      </c>
      <c r="G2">
        <v>5.5</v>
      </c>
    </row>
    <row r="3" spans="1:7" x14ac:dyDescent="0.2">
      <c r="A3">
        <v>450</v>
      </c>
      <c r="B3">
        <v>8720</v>
      </c>
      <c r="C3">
        <v>0.34666666666666679</v>
      </c>
      <c r="D3">
        <f t="shared" ref="D3:D38" si="0">1169*5*10^13/5.32</f>
        <v>1.0986842105263158E+16</v>
      </c>
      <c r="E3">
        <f t="shared" ref="E3:E38" si="1">-2780*2*10^12/5.32</f>
        <v>-1045112781954887.1</v>
      </c>
      <c r="F3">
        <v>980522530293.16711</v>
      </c>
      <c r="G3">
        <v>5.5</v>
      </c>
    </row>
    <row r="4" spans="1:7" x14ac:dyDescent="0.2">
      <c r="A4">
        <v>900</v>
      </c>
      <c r="B4">
        <v>8720</v>
      </c>
      <c r="C4">
        <v>0.14999999999999997</v>
      </c>
      <c r="D4">
        <f t="shared" si="0"/>
        <v>1.0986842105263158E+16</v>
      </c>
      <c r="E4">
        <f t="shared" si="1"/>
        <v>-1045112781954887.1</v>
      </c>
      <c r="F4">
        <v>977626708813.776</v>
      </c>
      <c r="G4">
        <v>5.5</v>
      </c>
    </row>
    <row r="5" spans="1:7" x14ac:dyDescent="0.2">
      <c r="A5">
        <v>2127.272727272727</v>
      </c>
      <c r="B5">
        <v>8700</v>
      </c>
      <c r="C5">
        <v>4.0427350427350447E-2</v>
      </c>
      <c r="D5">
        <f t="shared" si="0"/>
        <v>1.0986842105263158E+16</v>
      </c>
      <c r="E5">
        <f t="shared" si="1"/>
        <v>-1045112781954887.1</v>
      </c>
      <c r="F5">
        <v>975785909002.93018</v>
      </c>
      <c r="G5">
        <v>5.5</v>
      </c>
    </row>
    <row r="6" spans="1:7" x14ac:dyDescent="0.2">
      <c r="A6">
        <v>2618.181818181818</v>
      </c>
      <c r="B6">
        <v>8700</v>
      </c>
      <c r="C6">
        <v>3.4374999999999982E-2</v>
      </c>
      <c r="D6">
        <f t="shared" si="0"/>
        <v>1.0986842105263158E+16</v>
      </c>
      <c r="E6">
        <f t="shared" si="1"/>
        <v>-1045112781954887.1</v>
      </c>
      <c r="F6">
        <v>973862773308.98132</v>
      </c>
      <c r="G6">
        <v>5.5</v>
      </c>
    </row>
    <row r="7" spans="1:7" x14ac:dyDescent="0.2">
      <c r="A7">
        <v>3272.7272727272725</v>
      </c>
      <c r="B7">
        <v>8680</v>
      </c>
      <c r="C7">
        <v>5.3777777777777779E-2</v>
      </c>
      <c r="D7">
        <f t="shared" si="0"/>
        <v>1.0986842105263158E+16</v>
      </c>
      <c r="E7">
        <f t="shared" si="1"/>
        <v>-1045112781954887.1</v>
      </c>
      <c r="F7">
        <v>970111657701.39624</v>
      </c>
      <c r="G7">
        <v>5.5</v>
      </c>
    </row>
    <row r="8" spans="1:7" x14ac:dyDescent="0.2">
      <c r="A8">
        <v>4090.9090909090905</v>
      </c>
      <c r="B8">
        <v>8660</v>
      </c>
      <c r="C8">
        <v>6.966666666666671E-2</v>
      </c>
      <c r="D8">
        <f t="shared" si="0"/>
        <v>1.0986842105263158E+16</v>
      </c>
      <c r="E8">
        <f t="shared" si="1"/>
        <v>-1045112781954887.1</v>
      </c>
      <c r="F8">
        <v>964064498753.56604</v>
      </c>
      <c r="G8">
        <v>5.5</v>
      </c>
    </row>
    <row r="9" spans="1:7" x14ac:dyDescent="0.2">
      <c r="A9">
        <v>4909.090909090909</v>
      </c>
      <c r="B9">
        <v>8640</v>
      </c>
      <c r="C9">
        <v>9.166666666666666E-2</v>
      </c>
      <c r="D9">
        <f t="shared" si="0"/>
        <v>1.0986842105263158E+16</v>
      </c>
      <c r="E9">
        <f t="shared" si="1"/>
        <v>-1045112781954887.1</v>
      </c>
      <c r="F9">
        <v>954584203379.14062</v>
      </c>
      <c r="G9">
        <v>5.5</v>
      </c>
    </row>
    <row r="10" spans="1:7" x14ac:dyDescent="0.2">
      <c r="A10">
        <v>5727.272727272727</v>
      </c>
      <c r="B10">
        <v>8620</v>
      </c>
      <c r="C10">
        <v>0.12204761904761902</v>
      </c>
      <c r="D10">
        <f t="shared" si="0"/>
        <v>1.0986842105263158E+16</v>
      </c>
      <c r="E10">
        <f t="shared" si="1"/>
        <v>-1045112781954887.1</v>
      </c>
      <c r="F10">
        <v>940021580239.11255</v>
      </c>
      <c r="G10">
        <v>5.5</v>
      </c>
    </row>
    <row r="11" spans="1:7" x14ac:dyDescent="0.2">
      <c r="A11">
        <v>6545.454545454545</v>
      </c>
      <c r="B11">
        <v>8620</v>
      </c>
      <c r="C11">
        <v>0.14636111111111114</v>
      </c>
      <c r="D11">
        <f t="shared" si="0"/>
        <v>1.0986842105263158E+16</v>
      </c>
      <c r="E11">
        <f t="shared" si="1"/>
        <v>-1045112781954887.1</v>
      </c>
      <c r="F11">
        <v>920382293875.09314</v>
      </c>
      <c r="G11">
        <v>5.5</v>
      </c>
    </row>
    <row r="12" spans="1:7" x14ac:dyDescent="0.2">
      <c r="A12">
        <v>7363.6363636363631</v>
      </c>
      <c r="B12">
        <v>8620</v>
      </c>
      <c r="C12">
        <v>0.22325925925925924</v>
      </c>
      <c r="D12">
        <f t="shared" si="0"/>
        <v>1.0986842105263158E+16</v>
      </c>
      <c r="E12">
        <f t="shared" si="1"/>
        <v>-1045112781954887.1</v>
      </c>
      <c r="F12">
        <v>887524142481.80737</v>
      </c>
      <c r="G12">
        <v>5.5</v>
      </c>
    </row>
    <row r="13" spans="1:7" x14ac:dyDescent="0.2">
      <c r="A13">
        <v>7854.545454545454</v>
      </c>
      <c r="B13">
        <v>8620</v>
      </c>
      <c r="C13">
        <v>0.18244212962962963</v>
      </c>
      <c r="D13">
        <f t="shared" si="0"/>
        <v>1.0986842105263158E+16</v>
      </c>
      <c r="E13">
        <f t="shared" si="1"/>
        <v>-1045112781954887.1</v>
      </c>
      <c r="F13">
        <v>859733852932.53162</v>
      </c>
      <c r="G13">
        <v>5.5</v>
      </c>
    </row>
    <row r="14" spans="1:7" x14ac:dyDescent="0.2">
      <c r="A14">
        <v>8672.7272727272721</v>
      </c>
      <c r="B14">
        <v>8620</v>
      </c>
      <c r="C14">
        <v>0.39295597484276734</v>
      </c>
      <c r="D14">
        <f t="shared" si="0"/>
        <v>1.0986842105263158E+16</v>
      </c>
      <c r="E14">
        <f t="shared" si="1"/>
        <v>-1045112781954887.1</v>
      </c>
      <c r="F14">
        <v>796710010255.01917</v>
      </c>
      <c r="G14">
        <v>5.5</v>
      </c>
    </row>
    <row r="15" spans="1:7" x14ac:dyDescent="0.2">
      <c r="A15">
        <v>9000</v>
      </c>
      <c r="B15">
        <v>8620</v>
      </c>
      <c r="C15">
        <v>0.19577777777777783</v>
      </c>
      <c r="D15">
        <f t="shared" si="0"/>
        <v>1.0986842105263158E+16</v>
      </c>
      <c r="E15">
        <f t="shared" si="1"/>
        <v>-1045112781954887.1</v>
      </c>
      <c r="F15">
        <v>765756603713.2439</v>
      </c>
      <c r="G15">
        <v>5.5</v>
      </c>
    </row>
    <row r="16" spans="1:7" x14ac:dyDescent="0.2">
      <c r="A16">
        <v>9818.181818181818</v>
      </c>
      <c r="B16">
        <v>8620</v>
      </c>
      <c r="C16">
        <v>0.72314814814814821</v>
      </c>
      <c r="D16">
        <f t="shared" si="0"/>
        <v>1.0986842105263158E+16</v>
      </c>
      <c r="E16">
        <f t="shared" si="1"/>
        <v>-1045112781954887.1</v>
      </c>
      <c r="F16">
        <v>651528935889.12402</v>
      </c>
      <c r="G16">
        <v>5.5</v>
      </c>
    </row>
    <row r="17" spans="1:7" x14ac:dyDescent="0.2">
      <c r="A17">
        <v>10636.363636363636</v>
      </c>
      <c r="B17">
        <v>8620</v>
      </c>
      <c r="C17">
        <v>1.0811965811965811</v>
      </c>
      <c r="D17">
        <f t="shared" si="0"/>
        <v>1.0986842105263158E+16</v>
      </c>
      <c r="E17">
        <f t="shared" si="1"/>
        <v>-1045112781954887.1</v>
      </c>
      <c r="F17">
        <v>498242015175.21881</v>
      </c>
      <c r="G17">
        <v>5.5</v>
      </c>
    </row>
    <row r="18" spans="1:7" x14ac:dyDescent="0.2">
      <c r="A18">
        <v>11454.545454545454</v>
      </c>
      <c r="B18">
        <v>8720</v>
      </c>
      <c r="C18">
        <v>1.5103174603174605</v>
      </c>
      <c r="D18">
        <f t="shared" si="0"/>
        <v>1.0986842105263158E+16</v>
      </c>
      <c r="E18">
        <f t="shared" si="1"/>
        <v>-1045112781954887.1</v>
      </c>
      <c r="F18">
        <v>327404727710.39441</v>
      </c>
      <c r="G18">
        <v>5.5</v>
      </c>
    </row>
    <row r="19" spans="1:7" x14ac:dyDescent="0.2">
      <c r="A19">
        <v>12272.727272727272</v>
      </c>
      <c r="B19">
        <v>8720</v>
      </c>
      <c r="C19">
        <v>1.5074074074074075</v>
      </c>
      <c r="D19">
        <f t="shared" si="0"/>
        <v>1.0986842105263158E+16</v>
      </c>
      <c r="E19">
        <f t="shared" si="1"/>
        <v>-1045112781954887.1</v>
      </c>
      <c r="F19">
        <v>327422476057.88495</v>
      </c>
      <c r="G19">
        <v>5.5</v>
      </c>
    </row>
    <row r="20" spans="1:7" x14ac:dyDescent="0.2">
      <c r="A20">
        <v>12600</v>
      </c>
      <c r="B20">
        <v>8760</v>
      </c>
      <c r="C20">
        <v>0.88095238095238093</v>
      </c>
      <c r="D20">
        <f t="shared" si="0"/>
        <v>1.0986842105263158E+16</v>
      </c>
      <c r="E20">
        <f t="shared" si="1"/>
        <v>-1045112781954887.1</v>
      </c>
      <c r="F20">
        <v>293256367437.69861</v>
      </c>
      <c r="G20">
        <v>5.5</v>
      </c>
    </row>
    <row r="21" spans="1:7" x14ac:dyDescent="0.2">
      <c r="A21">
        <v>13090.90909090909</v>
      </c>
      <c r="B21">
        <v>8760</v>
      </c>
      <c r="C21">
        <v>1.3597222222222223</v>
      </c>
      <c r="D21">
        <f t="shared" si="0"/>
        <v>1.0986842105263158E+16</v>
      </c>
      <c r="E21">
        <f t="shared" si="1"/>
        <v>-1045112781954887.1</v>
      </c>
      <c r="F21">
        <v>243720848936.02579</v>
      </c>
      <c r="G21">
        <v>5.5</v>
      </c>
    </row>
    <row r="22" spans="1:7" x14ac:dyDescent="0.2">
      <c r="A22">
        <v>13990.90909090909</v>
      </c>
      <c r="B22">
        <v>8760</v>
      </c>
      <c r="C22">
        <v>2.4730344379467186</v>
      </c>
      <c r="D22">
        <f t="shared" si="0"/>
        <v>1.0986842105263158E+16</v>
      </c>
      <c r="E22">
        <f t="shared" si="1"/>
        <v>-1045112781954887.1</v>
      </c>
      <c r="F22">
        <v>164458150940.758</v>
      </c>
      <c r="G22">
        <v>5.5</v>
      </c>
    </row>
    <row r="23" spans="1:7" x14ac:dyDescent="0.2">
      <c r="A23">
        <v>14890.90909090909</v>
      </c>
      <c r="B23">
        <v>8760</v>
      </c>
      <c r="C23">
        <v>2.3101343101343104</v>
      </c>
      <c r="D23">
        <f t="shared" si="0"/>
        <v>1.0986842105263158E+16</v>
      </c>
      <c r="E23">
        <f t="shared" si="1"/>
        <v>-1045112781954887.1</v>
      </c>
      <c r="F23">
        <v>105324137168.58687</v>
      </c>
      <c r="G23">
        <v>5.5</v>
      </c>
    </row>
    <row r="24" spans="1:7" x14ac:dyDescent="0.2">
      <c r="A24">
        <v>15627.272727272726</v>
      </c>
      <c r="B24">
        <v>8760</v>
      </c>
      <c r="C24">
        <v>1.6381617219313553</v>
      </c>
      <c r="D24">
        <f t="shared" si="0"/>
        <v>1.0986842105263158E+16</v>
      </c>
      <c r="E24">
        <f t="shared" si="1"/>
        <v>-1045112781954887.1</v>
      </c>
      <c r="F24">
        <v>-249082634052.58212</v>
      </c>
      <c r="G24">
        <v>5.5</v>
      </c>
    </row>
    <row r="25" spans="1:7" x14ac:dyDescent="0.2">
      <c r="A25">
        <v>16363.636363636362</v>
      </c>
      <c r="B25">
        <v>8760</v>
      </c>
      <c r="C25">
        <v>1.472777777777778</v>
      </c>
      <c r="D25">
        <f t="shared" si="0"/>
        <v>1.0986842105263158E+16</v>
      </c>
      <c r="E25">
        <f t="shared" si="1"/>
        <v>-1045112781954887.1</v>
      </c>
      <c r="F25">
        <v>-389393666687.72156</v>
      </c>
      <c r="G25">
        <v>5.5</v>
      </c>
    </row>
    <row r="26" spans="1:7" x14ac:dyDescent="0.2">
      <c r="A26">
        <v>17181.81818181818</v>
      </c>
      <c r="B26">
        <v>8760</v>
      </c>
      <c r="C26">
        <v>1.4084656084656084</v>
      </c>
      <c r="D26">
        <f t="shared" si="0"/>
        <v>1.0986842105263158E+16</v>
      </c>
      <c r="E26">
        <f t="shared" si="1"/>
        <v>-1045112781954887.1</v>
      </c>
      <c r="F26">
        <v>-430920987926.17035</v>
      </c>
      <c r="G26">
        <v>5.5</v>
      </c>
    </row>
    <row r="27" spans="1:7" x14ac:dyDescent="0.2">
      <c r="A27">
        <v>18000</v>
      </c>
      <c r="B27">
        <v>8760</v>
      </c>
      <c r="C27">
        <v>1.2333333333333334</v>
      </c>
      <c r="D27">
        <f t="shared" si="0"/>
        <v>1.0986842105263158E+16</v>
      </c>
      <c r="E27">
        <f t="shared" si="1"/>
        <v>-1045112781954887.1</v>
      </c>
      <c r="F27">
        <v>-507989833830.06116</v>
      </c>
      <c r="G27">
        <v>5.5</v>
      </c>
    </row>
    <row r="28" spans="1:7" x14ac:dyDescent="0.2">
      <c r="A28">
        <v>18556.363636363636</v>
      </c>
      <c r="B28">
        <v>8760</v>
      </c>
      <c r="C28">
        <v>0.80295904369978444</v>
      </c>
      <c r="D28">
        <f t="shared" si="0"/>
        <v>1.0986842105263158E+16</v>
      </c>
      <c r="E28">
        <f t="shared" si="1"/>
        <v>-1045112781954887.1</v>
      </c>
      <c r="F28">
        <v>-576437440225.13318</v>
      </c>
      <c r="G28">
        <v>5.5</v>
      </c>
    </row>
    <row r="29" spans="1:7" x14ac:dyDescent="0.2">
      <c r="A29">
        <v>19636.363636363636</v>
      </c>
      <c r="B29">
        <v>9060</v>
      </c>
      <c r="C29">
        <v>1.3546296296296296</v>
      </c>
      <c r="D29">
        <f t="shared" si="0"/>
        <v>1.0986842105263158E+16</v>
      </c>
      <c r="E29">
        <f t="shared" si="1"/>
        <v>-1045112781954887.1</v>
      </c>
      <c r="F29">
        <v>-755602350692.30249</v>
      </c>
      <c r="G29">
        <v>5.5</v>
      </c>
    </row>
    <row r="30" spans="1:7" x14ac:dyDescent="0.2">
      <c r="A30">
        <v>20454.545454545452</v>
      </c>
      <c r="B30">
        <v>9287.2727272727261</v>
      </c>
      <c r="C30">
        <v>1.0413333333333334</v>
      </c>
      <c r="D30">
        <f t="shared" si="0"/>
        <v>1.0986842105263158E+16</v>
      </c>
      <c r="E30">
        <f t="shared" si="1"/>
        <v>-1045112781954887.1</v>
      </c>
      <c r="F30">
        <v>-999304494663.22253</v>
      </c>
      <c r="G30">
        <v>5.5</v>
      </c>
    </row>
    <row r="31" spans="1:7" x14ac:dyDescent="0.2">
      <c r="A31">
        <v>21354.545454545452</v>
      </c>
      <c r="B31">
        <v>9537.2727272727261</v>
      </c>
      <c r="C31">
        <v>1.0255427841634739</v>
      </c>
      <c r="D31">
        <f t="shared" si="0"/>
        <v>1.0986842105263158E+16</v>
      </c>
      <c r="E31">
        <f t="shared" si="1"/>
        <v>-1045112781954887.1</v>
      </c>
      <c r="F31">
        <v>-1477433397854.5234</v>
      </c>
      <c r="G31">
        <v>5.5</v>
      </c>
    </row>
    <row r="32" spans="1:7" x14ac:dyDescent="0.2">
      <c r="A32">
        <v>21763.636363636364</v>
      </c>
      <c r="B32">
        <v>9650.9090909090901</v>
      </c>
      <c r="C32">
        <v>0.45488721804511278</v>
      </c>
      <c r="D32">
        <f t="shared" si="0"/>
        <v>1.0986842105263158E+16</v>
      </c>
      <c r="E32">
        <f t="shared" si="1"/>
        <v>-1045112781954887.1</v>
      </c>
      <c r="F32">
        <v>-1873003016638.5435</v>
      </c>
      <c r="G32">
        <v>5.5</v>
      </c>
    </row>
    <row r="33" spans="1:7" x14ac:dyDescent="0.2">
      <c r="A33">
        <v>22090.909090909088</v>
      </c>
      <c r="B33">
        <v>9650</v>
      </c>
      <c r="C33">
        <v>0.35308641975308647</v>
      </c>
      <c r="D33">
        <f t="shared" si="0"/>
        <v>1.0986842105263158E+16</v>
      </c>
      <c r="E33">
        <f t="shared" si="1"/>
        <v>-1045112781954887.1</v>
      </c>
      <c r="F33">
        <v>-2362837728517.8281</v>
      </c>
      <c r="G33">
        <v>5.5</v>
      </c>
    </row>
    <row r="34" spans="1:7" x14ac:dyDescent="0.2">
      <c r="A34">
        <v>22745.454545454544</v>
      </c>
      <c r="B34">
        <v>9650</v>
      </c>
      <c r="C34">
        <v>0.97162270183852928</v>
      </c>
      <c r="D34">
        <f t="shared" si="0"/>
        <v>1.0986842105263158E+16</v>
      </c>
      <c r="E34">
        <f t="shared" si="1"/>
        <v>-1045112781954887.1</v>
      </c>
      <c r="F34">
        <v>-8088573202021.6611</v>
      </c>
      <c r="G34">
        <v>5.5</v>
      </c>
    </row>
    <row r="35" spans="1:7" x14ac:dyDescent="0.2">
      <c r="A35">
        <v>22909.090909090908</v>
      </c>
      <c r="B35">
        <v>9650</v>
      </c>
      <c r="C35">
        <v>0.16150793650793652</v>
      </c>
      <c r="D35">
        <f t="shared" si="0"/>
        <v>1.0986842105263158E+16</v>
      </c>
      <c r="E35">
        <f t="shared" si="1"/>
        <v>-1045112781954887.1</v>
      </c>
      <c r="F35">
        <v>-13004903673779.145</v>
      </c>
      <c r="G35">
        <v>5.5</v>
      </c>
    </row>
    <row r="36" spans="1:7" x14ac:dyDescent="0.2">
      <c r="A36">
        <v>23072.727272727272</v>
      </c>
      <c r="B36">
        <v>9650</v>
      </c>
      <c r="C36">
        <v>0.1256895193065406</v>
      </c>
      <c r="D36">
        <f t="shared" si="0"/>
        <v>1.0986842105263158E+16</v>
      </c>
      <c r="E36">
        <f t="shared" si="1"/>
        <v>-1045112781954887.1</v>
      </c>
      <c r="F36">
        <v>-23993944078633.715</v>
      </c>
      <c r="G36">
        <v>5.5</v>
      </c>
    </row>
    <row r="37" spans="1:7" x14ac:dyDescent="0.2">
      <c r="A37">
        <v>23236.363636363636</v>
      </c>
      <c r="B37">
        <v>9650</v>
      </c>
      <c r="C37">
        <v>7.746478873239436E-2</v>
      </c>
      <c r="D37">
        <f t="shared" si="0"/>
        <v>1.0986842105263158E+16</v>
      </c>
      <c r="E37">
        <f t="shared" si="1"/>
        <v>-1045112781954887.1</v>
      </c>
      <c r="F37">
        <v>-47990528355841.945</v>
      </c>
      <c r="G37">
        <v>5.5</v>
      </c>
    </row>
    <row r="38" spans="1:7" x14ac:dyDescent="0.2">
      <c r="A38">
        <v>23645.454545454544</v>
      </c>
      <c r="B38">
        <v>9650</v>
      </c>
      <c r="C38">
        <v>8.4582852748942727E-2</v>
      </c>
      <c r="D38">
        <f t="shared" si="0"/>
        <v>1.0986842105263158E+16</v>
      </c>
      <c r="E38">
        <f t="shared" si="1"/>
        <v>-1045112781954887.1</v>
      </c>
      <c r="F38">
        <v>-101453708496394.88</v>
      </c>
      <c r="G38">
        <v>5.5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DB599-5564-0941-80C7-8974A4CEE988}">
  <dimension ref="A1:G36"/>
  <sheetViews>
    <sheetView topLeftCell="C1" workbookViewId="0">
      <selection activeCell="I34" sqref="I34"/>
    </sheetView>
  </sheetViews>
  <sheetFormatPr baseColWidth="10" defaultRowHeight="16" x14ac:dyDescent="0.2"/>
  <cols>
    <col min="4" max="4" width="26.83203125" customWidth="1"/>
    <col min="5" max="5" width="29.1640625" customWidth="1"/>
    <col min="6" max="6" width="21.33203125" customWidth="1"/>
  </cols>
  <sheetData>
    <row r="1" spans="1:7" x14ac:dyDescent="0.2">
      <c r="A1" t="s">
        <v>6</v>
      </c>
      <c r="B1" s="1" t="s">
        <v>0</v>
      </c>
      <c r="C1" t="s">
        <v>1</v>
      </c>
      <c r="D1" t="s">
        <v>2</v>
      </c>
      <c r="E1" t="s">
        <v>8</v>
      </c>
      <c r="F1" t="s">
        <v>4</v>
      </c>
      <c r="G1" t="s">
        <v>5</v>
      </c>
    </row>
    <row r="2" spans="1:7" x14ac:dyDescent="0.2">
      <c r="A2">
        <v>0</v>
      </c>
      <c r="B2">
        <v>8700</v>
      </c>
      <c r="C2" s="6">
        <v>0</v>
      </c>
      <c r="D2">
        <f>8*10^11*1094/5.32</f>
        <v>164511278195488.72</v>
      </c>
      <c r="E2">
        <f>-5*10^12*2978/5.32</f>
        <v>-2798872180451127.5</v>
      </c>
      <c r="F2">
        <v>429120805177.13013</v>
      </c>
      <c r="G2">
        <v>32.799999999999997</v>
      </c>
    </row>
    <row r="3" spans="1:7" x14ac:dyDescent="0.2">
      <c r="A3">
        <v>513</v>
      </c>
      <c r="B3">
        <v>8700</v>
      </c>
      <c r="C3" s="6">
        <v>0.17153996099999999</v>
      </c>
      <c r="D3">
        <f t="shared" ref="D3:D36" si="0">8*10^11*1094/5.32</f>
        <v>164511278195488.72</v>
      </c>
      <c r="E3">
        <f t="shared" ref="E3:E36" si="1">-5*10^12*2978/5.32</f>
        <v>-2798872180451127.5</v>
      </c>
      <c r="F3">
        <v>428536744445.4989</v>
      </c>
      <c r="G3">
        <v>32.799999999999997</v>
      </c>
    </row>
    <row r="4" spans="1:7" x14ac:dyDescent="0.2">
      <c r="A4">
        <v>900</v>
      </c>
      <c r="B4">
        <v>8680</v>
      </c>
      <c r="C4" s="6">
        <v>0.13888888899999999</v>
      </c>
      <c r="D4">
        <f t="shared" si="0"/>
        <v>164511278195488.72</v>
      </c>
      <c r="E4">
        <f t="shared" si="1"/>
        <v>-2798872180451127.5</v>
      </c>
      <c r="F4">
        <v>427708261784.29077</v>
      </c>
      <c r="G4">
        <v>32.799999999999997</v>
      </c>
    </row>
    <row r="5" spans="1:7" x14ac:dyDescent="0.2">
      <c r="A5">
        <v>2454.5454545454545</v>
      </c>
      <c r="B5">
        <v>8660</v>
      </c>
      <c r="C5" s="6">
        <v>6.8444443999999993E-2</v>
      </c>
      <c r="D5">
        <f t="shared" si="0"/>
        <v>164511278195488.72</v>
      </c>
      <c r="E5">
        <f t="shared" si="1"/>
        <v>-2798872180451127.5</v>
      </c>
      <c r="F5">
        <v>426596902611.93317</v>
      </c>
      <c r="G5">
        <v>32.799999999999997</v>
      </c>
    </row>
    <row r="6" spans="1:7" x14ac:dyDescent="0.2">
      <c r="A6">
        <v>3272.7272727272725</v>
      </c>
      <c r="B6">
        <v>8640</v>
      </c>
      <c r="C6" s="6">
        <v>7.0888888999999997E-2</v>
      </c>
      <c r="D6">
        <f t="shared" si="0"/>
        <v>164511278195488.72</v>
      </c>
      <c r="E6">
        <f t="shared" si="1"/>
        <v>-2798872180451127.5</v>
      </c>
      <c r="F6">
        <v>425066160759.46112</v>
      </c>
      <c r="G6">
        <v>32.799999999999997</v>
      </c>
    </row>
    <row r="7" spans="1:7" x14ac:dyDescent="0.2">
      <c r="A7">
        <v>4090.9090909090905</v>
      </c>
      <c r="B7">
        <v>8620</v>
      </c>
      <c r="C7" s="6">
        <v>8.2622221999999995E-2</v>
      </c>
      <c r="D7">
        <f t="shared" si="0"/>
        <v>164511278195488.72</v>
      </c>
      <c r="E7">
        <f t="shared" si="1"/>
        <v>-2798872180451127.5</v>
      </c>
      <c r="F7">
        <v>422844294936.87341</v>
      </c>
      <c r="G7">
        <v>32.799999999999997</v>
      </c>
    </row>
    <row r="8" spans="1:7" x14ac:dyDescent="0.2">
      <c r="A8">
        <v>4909.090909090909</v>
      </c>
      <c r="B8">
        <v>8600</v>
      </c>
      <c r="C8" s="6">
        <v>9.9203704000000004E-2</v>
      </c>
      <c r="D8">
        <f t="shared" si="0"/>
        <v>164511278195488.72</v>
      </c>
      <c r="E8">
        <f t="shared" si="1"/>
        <v>-2798872180451127.5</v>
      </c>
      <c r="F8">
        <v>419660142953.60791</v>
      </c>
      <c r="G8">
        <v>32.799999999999997</v>
      </c>
    </row>
    <row r="9" spans="1:7" x14ac:dyDescent="0.2">
      <c r="A9">
        <v>5727.272727272727</v>
      </c>
      <c r="B9">
        <v>8600</v>
      </c>
      <c r="C9" s="6">
        <v>0.119253968</v>
      </c>
      <c r="D9">
        <f t="shared" si="0"/>
        <v>164511278195488.72</v>
      </c>
      <c r="E9">
        <f t="shared" si="1"/>
        <v>-2798872180451127.5</v>
      </c>
      <c r="F9">
        <v>415228464068.31842</v>
      </c>
      <c r="G9">
        <v>32.799999999999997</v>
      </c>
    </row>
    <row r="10" spans="1:7" x14ac:dyDescent="0.2">
      <c r="A10">
        <v>6545.454545454545</v>
      </c>
      <c r="B10">
        <v>8600</v>
      </c>
      <c r="C10" s="6">
        <v>0.17156944399999999</v>
      </c>
      <c r="D10">
        <f t="shared" si="0"/>
        <v>164511278195488.72</v>
      </c>
      <c r="E10">
        <f t="shared" si="1"/>
        <v>-2798872180451127.5</v>
      </c>
      <c r="F10">
        <v>408027369054.72369</v>
      </c>
      <c r="G10">
        <v>32.799999999999997</v>
      </c>
    </row>
    <row r="11" spans="1:7" x14ac:dyDescent="0.2">
      <c r="A11">
        <v>7363.6363636363631</v>
      </c>
      <c r="B11">
        <v>8600</v>
      </c>
      <c r="C11" s="6">
        <v>0.22516049399999999</v>
      </c>
      <c r="D11">
        <f t="shared" si="0"/>
        <v>164511278195488.72</v>
      </c>
      <c r="E11">
        <f t="shared" si="1"/>
        <v>-2798872180451127.5</v>
      </c>
      <c r="F11">
        <v>397587769662.84149</v>
      </c>
      <c r="G11">
        <v>32.799999999999997</v>
      </c>
    </row>
    <row r="12" spans="1:7" x14ac:dyDescent="0.2">
      <c r="A12">
        <v>8263.636363636364</v>
      </c>
      <c r="B12">
        <v>8600</v>
      </c>
      <c r="C12" s="6">
        <v>0.41156215600000001</v>
      </c>
      <c r="D12">
        <f t="shared" si="0"/>
        <v>164511278195488.72</v>
      </c>
      <c r="E12">
        <f t="shared" si="1"/>
        <v>-2798872180451127.5</v>
      </c>
      <c r="F12">
        <v>376874692623.95618</v>
      </c>
      <c r="G12">
        <v>32.799999999999997</v>
      </c>
    </row>
    <row r="13" spans="1:7" x14ac:dyDescent="0.2">
      <c r="A13">
        <v>9081.818181818182</v>
      </c>
      <c r="B13">
        <v>8600</v>
      </c>
      <c r="C13" s="6">
        <v>0.53953954000000004</v>
      </c>
      <c r="D13">
        <f t="shared" si="0"/>
        <v>164511278195488.72</v>
      </c>
      <c r="E13">
        <f t="shared" si="1"/>
        <v>-2798872180451127.5</v>
      </c>
      <c r="F13">
        <v>348632310672.91449</v>
      </c>
      <c r="G13">
        <v>32.799999999999997</v>
      </c>
    </row>
    <row r="14" spans="1:7" x14ac:dyDescent="0.2">
      <c r="A14">
        <v>9818.181818181818</v>
      </c>
      <c r="B14">
        <v>8600</v>
      </c>
      <c r="C14" s="6">
        <v>0.64166666699999997</v>
      </c>
      <c r="D14">
        <f t="shared" si="0"/>
        <v>164511278195488.72</v>
      </c>
      <c r="E14">
        <f t="shared" si="1"/>
        <v>-2798872180451127.5</v>
      </c>
      <c r="F14">
        <v>314953868633.52936</v>
      </c>
      <c r="G14">
        <v>32.799999999999997</v>
      </c>
    </row>
    <row r="15" spans="1:7" x14ac:dyDescent="0.2">
      <c r="A15">
        <v>10636.363636363636</v>
      </c>
      <c r="B15">
        <v>8600</v>
      </c>
      <c r="C15" s="6">
        <v>0.893162393</v>
      </c>
      <c r="D15">
        <f t="shared" si="0"/>
        <v>164511278195488.72</v>
      </c>
      <c r="E15">
        <f t="shared" si="1"/>
        <v>-2798872180451127.5</v>
      </c>
      <c r="F15">
        <v>269361917605.96524</v>
      </c>
      <c r="G15">
        <v>32.799999999999997</v>
      </c>
    </row>
    <row r="16" spans="1:7" x14ac:dyDescent="0.2">
      <c r="A16">
        <v>11569.090909090908</v>
      </c>
      <c r="B16">
        <v>8720</v>
      </c>
      <c r="C16" s="6">
        <v>1.322489392</v>
      </c>
      <c r="D16">
        <f t="shared" si="0"/>
        <v>164511278195488.72</v>
      </c>
      <c r="E16">
        <f t="shared" si="1"/>
        <v>-2798872180451127.5</v>
      </c>
      <c r="F16">
        <v>207625128537.35602</v>
      </c>
      <c r="G16">
        <v>32.799999999999997</v>
      </c>
    </row>
    <row r="17" spans="1:7" x14ac:dyDescent="0.2">
      <c r="A17">
        <v>12272.727272727272</v>
      </c>
      <c r="B17">
        <v>8720</v>
      </c>
      <c r="C17" s="6">
        <v>1.157037037</v>
      </c>
      <c r="D17">
        <f t="shared" si="0"/>
        <v>164511278195488.72</v>
      </c>
      <c r="E17">
        <f t="shared" si="1"/>
        <v>-2798872180451127.5</v>
      </c>
      <c r="F17">
        <v>184667823001.36951</v>
      </c>
      <c r="G17">
        <v>32.799999999999997</v>
      </c>
    </row>
    <row r="18" spans="1:7" x14ac:dyDescent="0.2">
      <c r="A18">
        <v>13418.181818181818</v>
      </c>
      <c r="B18">
        <v>8720</v>
      </c>
      <c r="C18" s="6">
        <v>1.9302168019999999</v>
      </c>
      <c r="D18">
        <f t="shared" si="0"/>
        <v>164511278195488.72</v>
      </c>
      <c r="E18">
        <f t="shared" si="1"/>
        <v>-2798872180451127.5</v>
      </c>
      <c r="F18">
        <v>132740750596.31113</v>
      </c>
      <c r="G18">
        <v>32.799999999999997</v>
      </c>
    </row>
    <row r="19" spans="1:7" x14ac:dyDescent="0.2">
      <c r="A19">
        <v>14727.272727272726</v>
      </c>
      <c r="B19">
        <v>8720</v>
      </c>
      <c r="C19" s="6">
        <v>2.0981481479999999</v>
      </c>
      <c r="D19">
        <f t="shared" si="0"/>
        <v>164511278195488.72</v>
      </c>
      <c r="E19">
        <f t="shared" si="1"/>
        <v>-2798872180451127.5</v>
      </c>
      <c r="F19">
        <v>86296144907.964752</v>
      </c>
      <c r="G19">
        <v>32.799999999999997</v>
      </c>
    </row>
    <row r="20" spans="1:7" x14ac:dyDescent="0.2">
      <c r="A20">
        <v>15709.090909090908</v>
      </c>
      <c r="B20">
        <v>8720</v>
      </c>
      <c r="C20" s="6">
        <v>1.4195601849999999</v>
      </c>
      <c r="D20">
        <f t="shared" si="0"/>
        <v>164511278195488.72</v>
      </c>
      <c r="E20">
        <f t="shared" si="1"/>
        <v>-2798872180451127.5</v>
      </c>
      <c r="F20">
        <v>61407756041.85936</v>
      </c>
      <c r="G20">
        <v>32.799999999999997</v>
      </c>
    </row>
    <row r="21" spans="1:7" x14ac:dyDescent="0.2">
      <c r="A21">
        <v>16527.272727272728</v>
      </c>
      <c r="B21">
        <v>8720</v>
      </c>
      <c r="C21" s="6">
        <v>1.107260726</v>
      </c>
      <c r="D21">
        <f t="shared" si="0"/>
        <v>164511278195488.72</v>
      </c>
      <c r="E21">
        <f t="shared" si="1"/>
        <v>-2798872180451127.5</v>
      </c>
      <c r="F21">
        <v>45443639256.02243</v>
      </c>
      <c r="G21">
        <v>32.799999999999997</v>
      </c>
    </row>
    <row r="22" spans="1:7" x14ac:dyDescent="0.2">
      <c r="A22">
        <v>17345.454545454544</v>
      </c>
      <c r="B22">
        <v>8720</v>
      </c>
      <c r="C22" s="6">
        <v>0.96855345900000001</v>
      </c>
      <c r="D22">
        <f t="shared" si="0"/>
        <v>164511278195488.72</v>
      </c>
      <c r="E22">
        <f t="shared" si="1"/>
        <v>-2798872180451127.5</v>
      </c>
      <c r="F22">
        <v>42571134631.704285</v>
      </c>
      <c r="G22">
        <v>32.799999999999997</v>
      </c>
    </row>
    <row r="23" spans="1:7" x14ac:dyDescent="0.2">
      <c r="A23">
        <v>18163.636363636364</v>
      </c>
      <c r="B23">
        <v>8720</v>
      </c>
      <c r="C23" s="6">
        <v>0.88638638599999997</v>
      </c>
      <c r="D23">
        <f t="shared" si="0"/>
        <v>164511278195488.72</v>
      </c>
      <c r="E23">
        <f t="shared" si="1"/>
        <v>-2798872180451127.5</v>
      </c>
      <c r="F23">
        <v>38101080237.648735</v>
      </c>
      <c r="G23">
        <v>32.799999999999997</v>
      </c>
    </row>
    <row r="24" spans="1:7" x14ac:dyDescent="0.2">
      <c r="A24">
        <v>18981.81818181818</v>
      </c>
      <c r="B24">
        <v>8720</v>
      </c>
      <c r="C24" s="6">
        <v>0.76388888899999996</v>
      </c>
      <c r="D24">
        <f t="shared" si="0"/>
        <v>164511278195488.72</v>
      </c>
      <c r="E24">
        <f t="shared" si="1"/>
        <v>-2798872180451127.5</v>
      </c>
      <c r="F24">
        <v>-66854477889.740303</v>
      </c>
      <c r="G24">
        <v>32.799999999999997</v>
      </c>
    </row>
    <row r="25" spans="1:7" x14ac:dyDescent="0.2">
      <c r="A25">
        <v>19881.81818181818</v>
      </c>
      <c r="B25">
        <v>8720</v>
      </c>
      <c r="C25" s="6">
        <v>0.72930955600000003</v>
      </c>
      <c r="D25">
        <f t="shared" si="0"/>
        <v>164511278195488.72</v>
      </c>
      <c r="E25">
        <f t="shared" si="1"/>
        <v>-2798872180451127.5</v>
      </c>
      <c r="F25">
        <v>-98529248899.887573</v>
      </c>
      <c r="G25">
        <v>32.799999999999997</v>
      </c>
    </row>
    <row r="26" spans="1:7" x14ac:dyDescent="0.2">
      <c r="A26">
        <v>20618.181818181816</v>
      </c>
      <c r="B26">
        <v>8720</v>
      </c>
      <c r="C26" s="6">
        <v>0.53350969999999998</v>
      </c>
      <c r="D26">
        <f t="shared" si="0"/>
        <v>164511278195488.72</v>
      </c>
      <c r="E26">
        <f t="shared" si="1"/>
        <v>-2798872180451127.5</v>
      </c>
      <c r="F26">
        <v>-303072876918.2912</v>
      </c>
      <c r="G26">
        <v>32.799999999999997</v>
      </c>
    </row>
    <row r="27" spans="1:7" x14ac:dyDescent="0.2">
      <c r="A27">
        <v>21272.727272727272</v>
      </c>
      <c r="B27">
        <v>8720</v>
      </c>
      <c r="C27" s="6">
        <v>0.427777778</v>
      </c>
      <c r="D27">
        <f t="shared" si="0"/>
        <v>164511278195488.72</v>
      </c>
      <c r="E27">
        <f t="shared" si="1"/>
        <v>-2798872180451127.5</v>
      </c>
      <c r="F27">
        <v>-705193328693.83044</v>
      </c>
      <c r="G27">
        <v>32.799999999999997</v>
      </c>
    </row>
    <row r="28" spans="1:7" x14ac:dyDescent="0.2">
      <c r="A28">
        <v>22254.545454545452</v>
      </c>
      <c r="B28">
        <v>8720</v>
      </c>
      <c r="C28" s="6">
        <v>0.57965686299999997</v>
      </c>
      <c r="D28">
        <f t="shared" si="0"/>
        <v>164511278195488.72</v>
      </c>
      <c r="E28">
        <f t="shared" si="1"/>
        <v>-2798872180451127.5</v>
      </c>
      <c r="F28">
        <v>-902264385463.05566</v>
      </c>
      <c r="G28">
        <v>32.799999999999997</v>
      </c>
    </row>
    <row r="29" spans="1:7" x14ac:dyDescent="0.2">
      <c r="A29">
        <v>22909.090909090908</v>
      </c>
      <c r="B29">
        <v>8720</v>
      </c>
      <c r="C29" s="6">
        <v>0.37539682499999999</v>
      </c>
      <c r="D29">
        <f t="shared" si="0"/>
        <v>164511278195488.72</v>
      </c>
      <c r="E29">
        <f t="shared" si="1"/>
        <v>-2798872180451127.5</v>
      </c>
      <c r="F29">
        <v>-1270256712118.2703</v>
      </c>
      <c r="G29">
        <v>32.799999999999997</v>
      </c>
    </row>
    <row r="30" spans="1:7" x14ac:dyDescent="0.2">
      <c r="A30">
        <v>23727.272727272724</v>
      </c>
      <c r="B30">
        <v>8720</v>
      </c>
      <c r="C30" s="6">
        <v>0.48045977000000001</v>
      </c>
      <c r="D30">
        <f t="shared" si="0"/>
        <v>164511278195488.72</v>
      </c>
      <c r="E30">
        <f t="shared" si="1"/>
        <v>-2798872180451127.5</v>
      </c>
      <c r="F30">
        <v>-1329252822130.3088</v>
      </c>
      <c r="G30">
        <v>32.799999999999997</v>
      </c>
    </row>
    <row r="31" spans="1:7" x14ac:dyDescent="0.2">
      <c r="A31">
        <v>25036.363636363636</v>
      </c>
      <c r="B31">
        <v>8720</v>
      </c>
      <c r="C31" s="6">
        <v>0.77886710199999998</v>
      </c>
      <c r="D31">
        <f t="shared" si="0"/>
        <v>164511278195488.72</v>
      </c>
      <c r="E31">
        <f t="shared" si="1"/>
        <v>-2798872180451127.5</v>
      </c>
      <c r="F31">
        <v>-1450603063234.5176</v>
      </c>
      <c r="G31">
        <v>32.799999999999997</v>
      </c>
    </row>
    <row r="32" spans="1:7" x14ac:dyDescent="0.2">
      <c r="A32">
        <v>25363.63636363636</v>
      </c>
      <c r="B32">
        <v>8720</v>
      </c>
      <c r="C32" s="6">
        <v>0.212903226</v>
      </c>
      <c r="D32">
        <f t="shared" si="0"/>
        <v>164511278195488.72</v>
      </c>
      <c r="E32">
        <f t="shared" si="1"/>
        <v>-2798872180451127.5</v>
      </c>
      <c r="F32">
        <v>-1490025163302.5278</v>
      </c>
      <c r="G32">
        <v>32.799999999999997</v>
      </c>
    </row>
    <row r="33" spans="1:7" x14ac:dyDescent="0.2">
      <c r="A33">
        <v>26345.454545454544</v>
      </c>
      <c r="B33">
        <v>8992.7272727272739</v>
      </c>
      <c r="C33" s="6">
        <v>0.709799862</v>
      </c>
      <c r="D33">
        <f t="shared" si="0"/>
        <v>164511278195488.72</v>
      </c>
      <c r="E33">
        <f t="shared" si="1"/>
        <v>-2798872180451127.5</v>
      </c>
      <c r="F33">
        <v>-1653730102266.8721</v>
      </c>
      <c r="G33">
        <v>32.799999999999997</v>
      </c>
    </row>
    <row r="34" spans="1:7" x14ac:dyDescent="0.2">
      <c r="A34">
        <v>27720</v>
      </c>
      <c r="B34">
        <v>9374.5454545454559</v>
      </c>
      <c r="C34" s="6">
        <v>2.424242424</v>
      </c>
      <c r="D34">
        <f t="shared" si="0"/>
        <v>164511278195488.72</v>
      </c>
      <c r="E34">
        <f t="shared" si="1"/>
        <v>-2798872180451127.5</v>
      </c>
      <c r="F34">
        <v>-3480630299229.2378</v>
      </c>
      <c r="G34">
        <v>32.799999999999997</v>
      </c>
    </row>
    <row r="35" spans="1:7" x14ac:dyDescent="0.2">
      <c r="A35">
        <v>27981.81818181818</v>
      </c>
      <c r="B35">
        <v>9447.2727272727279</v>
      </c>
      <c r="C35" s="6">
        <v>0.73261858300000005</v>
      </c>
      <c r="D35">
        <f t="shared" si="0"/>
        <v>164511278195488.72</v>
      </c>
      <c r="E35">
        <f t="shared" si="1"/>
        <v>-2798872180451127.5</v>
      </c>
      <c r="F35">
        <v>-9963261655313.3652</v>
      </c>
      <c r="G35">
        <v>32.799999999999997</v>
      </c>
    </row>
    <row r="36" spans="1:7" x14ac:dyDescent="0.2">
      <c r="A36">
        <v>28309.090909090908</v>
      </c>
      <c r="B36">
        <v>9538.1818181818198</v>
      </c>
      <c r="C36" s="6">
        <v>0.13402055199999999</v>
      </c>
      <c r="D36">
        <f t="shared" si="0"/>
        <v>164511278195488.72</v>
      </c>
      <c r="E36">
        <f t="shared" si="1"/>
        <v>-2798872180451127.5</v>
      </c>
      <c r="F36">
        <v>-17897246681209.727</v>
      </c>
      <c r="G36">
        <v>32.799999999999997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Bhattarai, Sanjay</dc:creator>
  <cp:lastModifiedBy>Bhattarai, Sanjay</cp:lastModifiedBy>
  <dcterms:created xsi:type="dcterms:W3CDTF">2024-12-11T21:57:01Z</dcterms:created>
  <dcterms:modified xsi:type="dcterms:W3CDTF">2024-12-13T21:09:14Z</dcterms:modified>
</cp:coreProperties>
</file>